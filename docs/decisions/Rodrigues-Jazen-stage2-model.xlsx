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rods\Downloads\"/>
    </mc:Choice>
  </mc:AlternateContent>
  <xr:revisionPtr revIDLastSave="0" documentId="8_{A3D1181A-A9B3-41C6-A6DB-AF9256EA3F8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cenario 4 Main Model" sheetId="4" r:id="rId1"/>
    <sheet name="Notes" sheetId="3" r:id="rId2"/>
  </sheets>
  <definedNames>
    <definedName name="call_price">#REF!</definedName>
    <definedName name="call_strike">#REF!</definedName>
    <definedName name="contract_notional_value_payable">#REF!</definedName>
    <definedName name="current_spot_price_payable">#REF!</definedName>
    <definedName name="eurusd_1y_scenarios" localSheetId="0">'Scenario 4 Main Model'!$C$35:$C$47</definedName>
    <definedName name="FC_AMT">'Scenario 4 Main Model'!$F$8</definedName>
    <definedName name="for_EURUSD">'Scenario 4 Main Model'!$F$14</definedName>
    <definedName name="for_GBPUSD" localSheetId="0">'Scenario 4 Main Model'!$F$14</definedName>
    <definedName name="for_GBPUSD">#REF!</definedName>
    <definedName name="forward_price_payable">#REF!</definedName>
    <definedName name="future_spot_price_payable">#REF!</definedName>
    <definedName name="fv_put_outlay" localSheetId="0">'Scenario 4 Main Model'!$F$30</definedName>
    <definedName name="fv_put_outlay">#REF!</definedName>
    <definedName name="gbpusd_1y_scenario">#REF!</definedName>
    <definedName name="hedge_no" localSheetId="0">'Scenario 4 Main Model'!$D$35:$D$47</definedName>
    <definedName name="hedge_no">#REF!</definedName>
    <definedName name="named_range">#REF!</definedName>
    <definedName name="put_price" localSheetId="0">'Scenario 4 Main Model'!$F$17</definedName>
    <definedName name="put_price">#REF!</definedName>
    <definedName name="R_FC">'Scenario 4 Main Model'!$F$12</definedName>
    <definedName name="R_USD">'Scenario 4 Main Model'!$F$11</definedName>
    <definedName name="rate_uk_1y_payable">#REF!</definedName>
    <definedName name="rate_us_1y_payable">#REF!</definedName>
    <definedName name="recievable" localSheetId="0">'Scenario 4 Main Model'!$F$8</definedName>
    <definedName name="recievable">#REF!</definedName>
    <definedName name="S0_in">'Scenario 4 Main Model'!$F$9</definedName>
    <definedName name="x_put" localSheetId="0">'Scenario 4 Main Model'!$F$16</definedName>
    <definedName name="x_put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4" l="1"/>
  <c r="C40" i="4"/>
  <c r="C39" i="4" s="1"/>
  <c r="C38" i="4" s="1"/>
  <c r="C37" i="4" s="1"/>
  <c r="C36" i="4" s="1"/>
  <c r="C35" i="4" s="1"/>
  <c r="D35" i="4" s="1"/>
  <c r="C42" i="4"/>
  <c r="H42" i="4" s="1"/>
  <c r="H41" i="4"/>
  <c r="D41" i="4"/>
  <c r="H40" i="4"/>
  <c r="F29" i="4"/>
  <c r="F30" i="4" s="1"/>
  <c r="F23" i="4"/>
  <c r="F24" i="4" s="1"/>
  <c r="F25" i="4" s="1"/>
  <c r="F26" i="4" s="1"/>
  <c r="F39" i="4" s="1"/>
  <c r="G29" i="4"/>
  <c r="D36" i="4" l="1"/>
  <c r="J38" i="4"/>
  <c r="F45" i="4"/>
  <c r="F40" i="4"/>
  <c r="F42" i="4"/>
  <c r="F37" i="4"/>
  <c r="F44" i="4"/>
  <c r="F43" i="4"/>
  <c r="F38" i="4"/>
  <c r="F35" i="4"/>
  <c r="F47" i="4"/>
  <c r="F46" i="4"/>
  <c r="F41" i="4"/>
  <c r="F36" i="4"/>
  <c r="I41" i="4"/>
  <c r="J42" i="4"/>
  <c r="J40" i="4"/>
  <c r="J41" i="4"/>
  <c r="G41" i="4" s="1"/>
  <c r="E41" i="4"/>
  <c r="H39" i="4"/>
  <c r="D42" i="4"/>
  <c r="D40" i="4"/>
  <c r="C43" i="4"/>
  <c r="D39" i="4"/>
  <c r="E39" i="4" s="1"/>
  <c r="H38" i="4" l="1"/>
  <c r="D38" i="4"/>
  <c r="J37" i="4"/>
  <c r="J39" i="4"/>
  <c r="G42" i="4"/>
  <c r="E42" i="4"/>
  <c r="H37" i="4"/>
  <c r="D37" i="4"/>
  <c r="I42" i="4"/>
  <c r="D43" i="4"/>
  <c r="C44" i="4"/>
  <c r="H43" i="4"/>
  <c r="G40" i="4"/>
  <c r="E40" i="4"/>
  <c r="K41" i="4"/>
  <c r="L41" i="4"/>
  <c r="E38" i="4"/>
  <c r="G38" i="4"/>
  <c r="J43" i="4"/>
  <c r="I38" i="4"/>
  <c r="G39" i="4"/>
  <c r="I39" i="4"/>
  <c r="I40" i="4"/>
  <c r="L39" i="4" l="1"/>
  <c r="K39" i="4"/>
  <c r="L38" i="4"/>
  <c r="K38" i="4"/>
  <c r="L40" i="4"/>
  <c r="K40" i="4"/>
  <c r="C45" i="4"/>
  <c r="D44" i="4"/>
  <c r="H44" i="4"/>
  <c r="J44" i="4"/>
  <c r="E43" i="4"/>
  <c r="G43" i="4"/>
  <c r="I43" i="4"/>
  <c r="G37" i="4"/>
  <c r="E37" i="4"/>
  <c r="I37" i="4"/>
  <c r="H36" i="4"/>
  <c r="J36" i="4"/>
  <c r="K42" i="4"/>
  <c r="L42" i="4"/>
  <c r="G36" i="4" l="1"/>
  <c r="E36" i="4"/>
  <c r="I36" i="4"/>
  <c r="H35" i="4"/>
  <c r="E35" i="4"/>
  <c r="J35" i="4"/>
  <c r="G35" i="4" s="1"/>
  <c r="L43" i="4"/>
  <c r="K43" i="4"/>
  <c r="L37" i="4"/>
  <c r="K37" i="4"/>
  <c r="G44" i="4"/>
  <c r="E44" i="4"/>
  <c r="I44" i="4"/>
  <c r="H45" i="4"/>
  <c r="D45" i="4"/>
  <c r="C46" i="4"/>
  <c r="J45" i="4"/>
  <c r="G45" i="4" l="1"/>
  <c r="E45" i="4"/>
  <c r="I45" i="4"/>
  <c r="L44" i="4"/>
  <c r="K44" i="4"/>
  <c r="C47" i="4"/>
  <c r="H46" i="4"/>
  <c r="D46" i="4"/>
  <c r="J46" i="4"/>
  <c r="I35" i="4"/>
  <c r="L36" i="4"/>
  <c r="K36" i="4"/>
  <c r="D47" i="4" l="1"/>
  <c r="H47" i="4"/>
  <c r="J47" i="4"/>
  <c r="K35" i="4"/>
  <c r="L35" i="4"/>
  <c r="G46" i="4"/>
  <c r="E46" i="4"/>
  <c r="I46" i="4"/>
  <c r="L45" i="4"/>
  <c r="K45" i="4"/>
  <c r="L46" i="4" l="1"/>
  <c r="K46" i="4"/>
  <c r="E47" i="4"/>
  <c r="G47" i="4"/>
  <c r="F31" i="4" s="1"/>
  <c r="I47" i="4"/>
  <c r="L47" i="4" l="1"/>
  <c r="K47" i="4"/>
</calcChain>
</file>

<file path=xl/sharedStrings.xml><?xml version="1.0" encoding="utf-8"?>
<sst xmlns="http://schemas.openxmlformats.org/spreadsheetml/2006/main" count="73" uniqueCount="67">
  <si>
    <t>Given</t>
  </si>
  <si>
    <t xml:space="preserve">Variables </t>
  </si>
  <si>
    <t>Key</t>
  </si>
  <si>
    <t>1-Year Receivable</t>
  </si>
  <si>
    <t>Money Market</t>
  </si>
  <si>
    <t>U.S. 1-Year Interest Rate (domestic)</t>
  </si>
  <si>
    <t>U.K. 1-Year Interest Rate (foreign)</t>
  </si>
  <si>
    <t>Forwards</t>
  </si>
  <si>
    <t>Options</t>
  </si>
  <si>
    <t>1. Forward Hedge</t>
  </si>
  <si>
    <t xml:space="preserve">&lt;-- LOCKED IN: in one year we will have this amount </t>
  </si>
  <si>
    <t>2. Money Market Hedge</t>
  </si>
  <si>
    <t>[a] Borrow the discounted present value of the foreign receivable</t>
  </si>
  <si>
    <t>[b] Convert [a] into domestic at the current spot exchange</t>
  </si>
  <si>
    <t>[c] Invest [b] at the prevailing domestic interest rate</t>
  </si>
  <si>
    <t>3. Option Hedge</t>
  </si>
  <si>
    <r>
      <rPr>
        <sz val="18"/>
        <color theme="1"/>
        <rFont val="Arial"/>
        <family val="2"/>
      </rPr>
      <t xml:space="preserve">[a] Buy </t>
    </r>
    <r>
      <rPr>
        <b/>
        <sz val="18"/>
        <color theme="1"/>
        <rFont val="Arial"/>
        <family val="2"/>
      </rPr>
      <t>puts</t>
    </r>
  </si>
  <si>
    <t>[b] Determine 1-year future value equivalent of [a]</t>
  </si>
  <si>
    <t>GBP/USD
Spot Exchange Rate
(scenarios in 1 year)</t>
  </si>
  <si>
    <t>In one year, we receive</t>
  </si>
  <si>
    <t>Hedge Profit (Loss) vs. No Hedge</t>
  </si>
  <si>
    <t>Winner</t>
  </si>
  <si>
    <t>0. No Hedge</t>
  </si>
  <si>
    <t>1. Forward Hedge
(F - St) x Notional Value</t>
  </si>
  <si>
    <t>of Hedge / No Hedge</t>
  </si>
  <si>
    <t>of Hedges</t>
  </si>
  <si>
    <t>Future Spot Price</t>
  </si>
  <si>
    <t>&lt;-- baseline</t>
  </si>
  <si>
    <t>Current EUR/USD Spot Exchange Rate</t>
  </si>
  <si>
    <t>EUR/USD 1-Year Forward Exchange Rate</t>
  </si>
  <si>
    <t>EUR/USD Put Strike Price</t>
  </si>
  <si>
    <t>EUR/USD Put Price</t>
  </si>
  <si>
    <r>
      <rPr>
        <sz val="18"/>
        <color theme="1"/>
        <rFont val="Arial"/>
        <family val="2"/>
      </rPr>
      <t xml:space="preserve">[a] </t>
    </r>
    <r>
      <rPr>
        <b/>
        <sz val="18"/>
        <color theme="1"/>
        <rFont val="Arial"/>
        <family val="2"/>
      </rPr>
      <t>Sell</t>
    </r>
    <r>
      <rPr>
        <sz val="18"/>
        <color theme="1"/>
        <rFont val="Arial"/>
        <family val="2"/>
      </rPr>
      <t xml:space="preserve"> EUR/USD 1-Year Forward</t>
    </r>
  </si>
  <si>
    <t>&lt;-- LOWEST: variable amount depends on where EUR/USD spot ends up in 1 year</t>
  </si>
  <si>
    <t>Inputs / Editable Variables</t>
  </si>
  <si>
    <t>Assumptions</t>
  </si>
  <si>
    <t>Formulas / Intermediate Steps</t>
  </si>
  <si>
    <t>Outputs / Summary Output</t>
  </si>
  <si>
    <t>Stage 2 FX Hedge Model – Scenario 4</t>
  </si>
  <si>
    <t>U.S. Aerospace Manufacturer – EUR Receivable</t>
  </si>
  <si>
    <t>Prepared by: Jazen</t>
  </si>
  <si>
    <t>As of Date: 4/17/2026</t>
  </si>
  <si>
    <t>&lt;-- Worse</t>
  </si>
  <si>
    <t>&lt;-- Better</t>
  </si>
  <si>
    <t>1. Scenario 4 is a EUR-denominated receivable of €20,000,000 due in one year.</t>
  </si>
  <si>
    <t>2. Exchange rates are quoted as USD per EUR.</t>
  </si>
  <si>
    <t>11. Transaction costs, taxes, bid-ask spreads, margin requirements, and credit risk are ignored.</t>
  </si>
  <si>
    <t>12. Final hedge recommendation will be completed in Stage 4.</t>
  </si>
  <si>
    <t>Notes and Assumptions</t>
  </si>
  <si>
    <t>Summary Output</t>
  </si>
  <si>
    <t>No Hedge (Base Case)</t>
  </si>
  <si>
    <t>Forward Hedge Result</t>
  </si>
  <si>
    <t>Money Market Hedge Result</t>
  </si>
  <si>
    <t>Option Hedge Result</t>
  </si>
  <si>
    <t>Forward vs. MM Difference</t>
  </si>
  <si>
    <t>Recommendation</t>
  </si>
  <si>
    <t>Stage 4 Placeholder</t>
  </si>
  <si>
    <t>3. Inputs used in this model follow the Scenario 4 template and assumptions applied in the workbook.</t>
  </si>
  <si>
    <t>4. The U.S. 1-year interest rate is used as the domestic rate and the foreign 1-year interest rate is used as the foreign rate.</t>
  </si>
  <si>
    <t>5. The 1-year forward rate is taken from the model inputs used in this workbook.</t>
  </si>
  <si>
    <t>6. The option strike price is assumed based on the scenario/template structure because a specific market-listed strike was not separately provided.</t>
  </si>
  <si>
    <t>7. Option premiums are used as provided in the original Scenario 4 instructions or template setup.</t>
  </si>
  <si>
    <t>8. The money market hedge is modeled by borrowing the present value of the foreign currency receivable, converting at spot, and investing the domestic currency proceeds for one year.</t>
  </si>
  <si>
    <t>9. Forward hedge and money market hedge are expected to produce similar locked-in proceeds, subject to rounding and modeling assumptions.</t>
  </si>
  <si>
    <t>10. Sensitivity analysis varies the ending exchange rate across the scenario range shown in the model.</t>
  </si>
  <si>
    <t>To be completed in stage 4</t>
  </si>
  <si>
    <t>Final recommendation will be based on locked-in proceeds, downside protection, and sensitivity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</si>
</sst>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164" formatCode="[$£]#,##0"/>
    <numFmt numFmtId="165" formatCode="&quot;$&quot;#,##0.00"/>
    <numFmt numFmtId="166" formatCode="&quot;$&quot;#,##0"/>
  </numFmts>
  <fonts count="17" x14ac:knownFonts="1">
    <font>
      <sz val="10"/>
      <color rgb="FF000000"/>
      <name val="Arial"/>
      <scheme val="minor"/>
    </font>
    <font>
      <sz val="18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0"/>
      <name val="Arial"/>
      <family val="2"/>
    </font>
    <font>
      <u/>
      <sz val="18"/>
      <color theme="1"/>
      <name val="Arial"/>
      <family val="2"/>
      <scheme val="minor"/>
    </font>
    <font>
      <sz val="18"/>
      <color theme="1"/>
      <name val="Arial"/>
      <family val="2"/>
    </font>
    <font>
      <sz val="22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8"/>
      <name val="Arial"/>
      <family val="2"/>
      <scheme val="minor"/>
    </font>
    <font>
      <b/>
      <sz val="18"/>
      <color rgb="FF000000"/>
      <name val="Arial"/>
      <family val="2"/>
      <scheme val="minor"/>
    </font>
    <font>
      <sz val="18"/>
      <color rgb="FF00B050"/>
      <name val="Arial"/>
      <family val="2"/>
      <scheme val="minor"/>
    </font>
    <font>
      <b/>
      <sz val="10"/>
      <name val="Arial"/>
      <family val="2"/>
    </font>
    <font>
      <sz val="10"/>
      <color rgb="FF000000"/>
      <name val="Arial"/>
      <family val="2"/>
      <scheme val="minor"/>
    </font>
    <font>
      <sz val="10"/>
      <color theme="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8"/>
      <color rgb="FF00B050"/>
      <name val="Arial"/>
      <family val="2"/>
      <scheme val="minor"/>
    </font>
    <font>
      <b/>
      <sz val="18"/>
      <color theme="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EAD1DC"/>
      </patternFill>
    </fill>
    <fill>
      <patternFill patternType="solid">
        <fgColor rgb="FF0070C0"/>
        <bgColor rgb="FFFFFF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FFFF00"/>
      </patternFill>
    </fill>
    <fill>
      <patternFill patternType="solid">
        <fgColor rgb="FF0070C0"/>
        <bgColor indexed="64"/>
      </patternFill>
    </fill>
  </fills>
  <borders count="6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dotted">
        <color rgb="FF000000"/>
      </left>
      <right/>
      <top style="dotted">
        <color rgb="FF000000"/>
      </top>
      <bottom style="thin">
        <color rgb="FFFFFFFF"/>
      </bottom>
      <diagonal/>
    </border>
    <border>
      <left/>
      <right/>
      <top style="dotted">
        <color rgb="FF000000"/>
      </top>
      <bottom style="thin">
        <color rgb="FFFFFFFF"/>
      </bottom>
      <diagonal/>
    </border>
    <border>
      <left/>
      <right style="dotted">
        <color rgb="FF000000"/>
      </right>
      <top style="dotted">
        <color rgb="FF000000"/>
      </top>
      <bottom style="thin">
        <color rgb="FFFFFFFF"/>
      </bottom>
      <diagonal/>
    </border>
    <border>
      <left style="dotted">
        <color rgb="FF000000"/>
      </left>
      <right/>
      <top style="thin">
        <color rgb="FFFFFFFF"/>
      </top>
      <bottom style="dotted">
        <color rgb="FF000000"/>
      </bottom>
      <diagonal/>
    </border>
    <border>
      <left/>
      <right/>
      <top style="thin">
        <color rgb="FFFFFFFF"/>
      </top>
      <bottom style="dotted">
        <color rgb="FF000000"/>
      </bottom>
      <diagonal/>
    </border>
    <border>
      <left/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/>
      <top style="thin">
        <color rgb="FFFFFFFF"/>
      </top>
      <bottom style="dotted">
        <color rgb="FF000000"/>
      </bottom>
      <diagonal/>
    </border>
    <border>
      <left/>
      <right style="dotted">
        <color rgb="FF000000"/>
      </right>
      <top style="thin">
        <color rgb="FFFFFFFF"/>
      </top>
      <bottom style="dotted">
        <color rgb="FF000000"/>
      </bottom>
      <diagonal/>
    </border>
    <border>
      <left style="dotted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dotted">
        <color rgb="FF000000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/>
      <diagonal/>
    </border>
  </borders>
  <cellStyleXfs count="2">
    <xf numFmtId="0" fontId="0" fillId="0" borderId="0"/>
    <xf numFmtId="44" fontId="12" fillId="0" borderId="0" applyFont="0" applyFill="0" applyBorder="0" applyAlignment="0" applyProtection="0"/>
  </cellStyleXfs>
  <cellXfs count="130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2" fillId="2" borderId="8" xfId="0" applyFont="1" applyFill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2" fillId="0" borderId="9" xfId="0" applyFont="1" applyBorder="1" applyAlignment="1">
      <alignment horizontal="center"/>
    </xf>
    <xf numFmtId="0" fontId="1" fillId="0" borderId="4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164" fontId="1" fillId="0" borderId="4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6" fontId="1" fillId="0" borderId="3" xfId="0" applyNumberFormat="1" applyFont="1" applyBorder="1" applyAlignment="1">
      <alignment vertical="top"/>
    </xf>
    <xf numFmtId="0" fontId="4" fillId="0" borderId="10" xfId="0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0" fontId="1" fillId="3" borderId="11" xfId="0" applyNumberFormat="1" applyFont="1" applyFill="1" applyBorder="1" applyAlignment="1">
      <alignment vertical="top"/>
    </xf>
    <xf numFmtId="0" fontId="5" fillId="0" borderId="14" xfId="0" applyFont="1" applyBorder="1" applyAlignment="1">
      <alignment vertical="top"/>
    </xf>
    <xf numFmtId="165" fontId="1" fillId="3" borderId="11" xfId="0" applyNumberFormat="1" applyFont="1" applyFill="1" applyBorder="1" applyAlignment="1">
      <alignment vertical="top"/>
    </xf>
    <xf numFmtId="0" fontId="1" fillId="3" borderId="11" xfId="0" applyFont="1" applyFill="1" applyBorder="1" applyAlignment="1">
      <alignment vertical="top"/>
    </xf>
    <xf numFmtId="0" fontId="1" fillId="0" borderId="10" xfId="0" applyFont="1" applyBorder="1"/>
    <xf numFmtId="165" fontId="1" fillId="0" borderId="1" xfId="0" applyNumberFormat="1" applyFont="1" applyBorder="1"/>
    <xf numFmtId="0" fontId="1" fillId="0" borderId="15" xfId="0" applyFont="1" applyBorder="1" applyAlignment="1">
      <alignment vertical="top"/>
    </xf>
    <xf numFmtId="165" fontId="1" fillId="0" borderId="16" xfId="0" applyNumberFormat="1" applyFont="1" applyBorder="1" applyAlignment="1">
      <alignment vertical="top"/>
    </xf>
    <xf numFmtId="0" fontId="1" fillId="0" borderId="1" xfId="0" applyFont="1" applyBorder="1"/>
    <xf numFmtId="0" fontId="1" fillId="0" borderId="18" xfId="0" applyFont="1" applyBorder="1" applyAlignment="1">
      <alignment vertical="top"/>
    </xf>
    <xf numFmtId="166" fontId="1" fillId="0" borderId="5" xfId="0" applyNumberFormat="1" applyFont="1" applyBorder="1" applyAlignment="1">
      <alignment vertical="top"/>
    </xf>
    <xf numFmtId="0" fontId="1" fillId="0" borderId="5" xfId="0" applyFont="1" applyBorder="1"/>
    <xf numFmtId="166" fontId="1" fillId="0" borderId="18" xfId="0" applyNumberFormat="1" applyFont="1" applyBorder="1" applyAlignment="1">
      <alignment vertical="top"/>
    </xf>
    <xf numFmtId="0" fontId="1" fillId="0" borderId="30" xfId="0" applyFont="1" applyBorder="1" applyAlignment="1">
      <alignment vertical="top"/>
    </xf>
    <xf numFmtId="0" fontId="2" fillId="3" borderId="25" xfId="0" applyFont="1" applyFill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0" borderId="25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2" fillId="0" borderId="38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66" fontId="2" fillId="0" borderId="39" xfId="0" applyNumberFormat="1" applyFont="1" applyBorder="1" applyAlignment="1">
      <alignment horizontal="center" vertical="top"/>
    </xf>
    <xf numFmtId="166" fontId="2" fillId="4" borderId="38" xfId="0" applyNumberFormat="1" applyFont="1" applyFill="1" applyBorder="1" applyAlignment="1">
      <alignment horizontal="center" vertical="top"/>
    </xf>
    <xf numFmtId="0" fontId="2" fillId="4" borderId="0" xfId="0" applyFont="1" applyFill="1" applyAlignment="1">
      <alignment horizontal="center" vertical="top"/>
    </xf>
    <xf numFmtId="166" fontId="2" fillId="4" borderId="39" xfId="0" applyNumberFormat="1" applyFont="1" applyFill="1" applyBorder="1" applyAlignment="1">
      <alignment horizontal="center" vertical="top"/>
    </xf>
    <xf numFmtId="0" fontId="2" fillId="0" borderId="39" xfId="0" applyFont="1" applyBorder="1" applyAlignment="1">
      <alignment horizontal="center" vertical="top"/>
    </xf>
    <xf numFmtId="0" fontId="2" fillId="0" borderId="0" xfId="0" applyFont="1" applyAlignment="1">
      <alignment horizontal="center" vertical="center" textRotation="90"/>
    </xf>
    <xf numFmtId="165" fontId="1" fillId="2" borderId="41" xfId="0" applyNumberFormat="1" applyFont="1" applyFill="1" applyBorder="1" applyAlignment="1">
      <alignment vertical="top"/>
    </xf>
    <xf numFmtId="165" fontId="1" fillId="2" borderId="48" xfId="0" applyNumberFormat="1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165" fontId="1" fillId="2" borderId="53" xfId="0" applyNumberFormat="1" applyFont="1" applyFill="1" applyBorder="1" applyAlignment="1">
      <alignment vertical="top"/>
    </xf>
    <xf numFmtId="0" fontId="3" fillId="0" borderId="3" xfId="0" applyFont="1" applyBorder="1"/>
    <xf numFmtId="0" fontId="3" fillId="0" borderId="4" xfId="0" applyFont="1" applyBorder="1"/>
    <xf numFmtId="0" fontId="7" fillId="0" borderId="1" xfId="0" applyFont="1" applyBorder="1" applyAlignment="1">
      <alignment vertical="top"/>
    </xf>
    <xf numFmtId="164" fontId="1" fillId="5" borderId="11" xfId="0" applyNumberFormat="1" applyFont="1" applyFill="1" applyBorder="1" applyAlignment="1">
      <alignment vertical="top"/>
    </xf>
    <xf numFmtId="165" fontId="1" fillId="5" borderId="11" xfId="0" applyNumberFormat="1" applyFont="1" applyFill="1" applyBorder="1" applyAlignment="1">
      <alignment vertical="top"/>
    </xf>
    <xf numFmtId="10" fontId="1" fillId="5" borderId="11" xfId="0" applyNumberFormat="1" applyFont="1" applyFill="1" applyBorder="1" applyAlignment="1">
      <alignment vertical="top"/>
    </xf>
    <xf numFmtId="165" fontId="1" fillId="5" borderId="11" xfId="0" applyNumberFormat="1" applyFont="1" applyFill="1" applyBorder="1"/>
    <xf numFmtId="165" fontId="1" fillId="5" borderId="17" xfId="0" applyNumberFormat="1" applyFont="1" applyFill="1" applyBorder="1" applyAlignment="1">
      <alignment vertical="top"/>
    </xf>
    <xf numFmtId="164" fontId="8" fillId="7" borderId="13" xfId="0" applyNumberFormat="1" applyFont="1" applyFill="1" applyBorder="1" applyAlignment="1">
      <alignment vertical="top"/>
    </xf>
    <xf numFmtId="0" fontId="9" fillId="5" borderId="12" xfId="0" applyFont="1" applyFill="1" applyBorder="1"/>
    <xf numFmtId="166" fontId="8" fillId="8" borderId="25" xfId="0" applyNumberFormat="1" applyFont="1" applyFill="1" applyBorder="1" applyAlignment="1">
      <alignment vertical="top"/>
    </xf>
    <xf numFmtId="166" fontId="8" fillId="8" borderId="25" xfId="0" applyNumberFormat="1" applyFont="1" applyFill="1" applyBorder="1" applyAlignment="1">
      <alignment horizontal="right" vertical="top"/>
    </xf>
    <xf numFmtId="164" fontId="10" fillId="0" borderId="1" xfId="0" applyNumberFormat="1" applyFont="1" applyBorder="1" applyAlignment="1">
      <alignment vertical="top"/>
    </xf>
    <xf numFmtId="166" fontId="10" fillId="0" borderId="1" xfId="0" applyNumberFormat="1" applyFont="1" applyBorder="1" applyAlignment="1">
      <alignment vertical="top"/>
    </xf>
    <xf numFmtId="166" fontId="10" fillId="0" borderId="42" xfId="0" applyNumberFormat="1" applyFont="1" applyBorder="1" applyAlignment="1">
      <alignment vertical="top"/>
    </xf>
    <xf numFmtId="166" fontId="10" fillId="0" borderId="43" xfId="0" applyNumberFormat="1" applyFont="1" applyBorder="1" applyAlignment="1">
      <alignment vertical="top"/>
    </xf>
    <xf numFmtId="166" fontId="10" fillId="0" borderId="43" xfId="0" applyNumberFormat="1" applyFont="1" applyBorder="1"/>
    <xf numFmtId="166" fontId="10" fillId="0" borderId="44" xfId="0" applyNumberFormat="1" applyFont="1" applyBorder="1"/>
    <xf numFmtId="166" fontId="10" fillId="4" borderId="42" xfId="0" applyNumberFormat="1" applyFont="1" applyFill="1" applyBorder="1" applyAlignment="1">
      <alignment vertical="top"/>
    </xf>
    <xf numFmtId="166" fontId="10" fillId="4" borderId="43" xfId="0" applyNumberFormat="1" applyFont="1" applyFill="1" applyBorder="1" applyAlignment="1">
      <alignment vertical="top"/>
    </xf>
    <xf numFmtId="166" fontId="10" fillId="4" borderId="44" xfId="0" applyNumberFormat="1" applyFont="1" applyFill="1" applyBorder="1" applyAlignment="1">
      <alignment vertical="top"/>
    </xf>
    <xf numFmtId="0" fontId="10" fillId="0" borderId="45" xfId="0" applyFont="1" applyBorder="1" applyAlignment="1">
      <alignment horizontal="center" vertical="top"/>
    </xf>
    <xf numFmtId="0" fontId="10" fillId="0" borderId="46" xfId="0" applyFont="1" applyBorder="1" applyAlignment="1">
      <alignment horizontal="center" vertical="top"/>
    </xf>
    <xf numFmtId="166" fontId="10" fillId="0" borderId="49" xfId="0" applyNumberFormat="1" applyFont="1" applyBorder="1" applyAlignment="1">
      <alignment vertical="top"/>
    </xf>
    <xf numFmtId="166" fontId="10" fillId="0" borderId="0" xfId="0" applyNumberFormat="1" applyFont="1" applyAlignment="1">
      <alignment vertical="top"/>
    </xf>
    <xf numFmtId="166" fontId="10" fillId="0" borderId="0" xfId="0" applyNumberFormat="1" applyFont="1"/>
    <xf numFmtId="166" fontId="10" fillId="0" borderId="50" xfId="0" applyNumberFormat="1" applyFont="1" applyBorder="1"/>
    <xf numFmtId="166" fontId="10" fillId="4" borderId="49" xfId="0" applyNumberFormat="1" applyFont="1" applyFill="1" applyBorder="1" applyAlignment="1">
      <alignment vertical="top"/>
    </xf>
    <xf numFmtId="166" fontId="10" fillId="4" borderId="0" xfId="0" applyNumberFormat="1" applyFont="1" applyFill="1" applyAlignment="1">
      <alignment vertical="top"/>
    </xf>
    <xf numFmtId="0" fontId="10" fillId="0" borderId="4" xfId="0" applyFont="1" applyBorder="1" applyAlignment="1">
      <alignment horizontal="center" vertical="top"/>
    </xf>
    <xf numFmtId="0" fontId="10" fillId="0" borderId="51" xfId="0" applyFont="1" applyBorder="1" applyAlignment="1">
      <alignment horizontal="center" vertical="top"/>
    </xf>
    <xf numFmtId="166" fontId="10" fillId="0" borderId="51" xfId="0" applyNumberFormat="1" applyFont="1" applyBorder="1" applyAlignment="1">
      <alignment horizontal="center" vertical="top"/>
    </xf>
    <xf numFmtId="166" fontId="10" fillId="0" borderId="54" xfId="0" applyNumberFormat="1" applyFont="1" applyBorder="1" applyAlignment="1">
      <alignment vertical="top"/>
    </xf>
    <xf numFmtId="166" fontId="10" fillId="0" borderId="55" xfId="0" applyNumberFormat="1" applyFont="1" applyBorder="1" applyAlignment="1">
      <alignment vertical="top"/>
    </xf>
    <xf numFmtId="166" fontId="10" fillId="0" borderId="55" xfId="0" applyNumberFormat="1" applyFont="1" applyBorder="1"/>
    <xf numFmtId="166" fontId="10" fillId="0" borderId="56" xfId="0" applyNumberFormat="1" applyFont="1" applyBorder="1"/>
    <xf numFmtId="166" fontId="10" fillId="4" borderId="54" xfId="0" applyNumberFormat="1" applyFont="1" applyFill="1" applyBorder="1" applyAlignment="1">
      <alignment vertical="top"/>
    </xf>
    <xf numFmtId="166" fontId="10" fillId="4" borderId="55" xfId="0" applyNumberFormat="1" applyFont="1" applyFill="1" applyBorder="1" applyAlignment="1">
      <alignment vertical="top"/>
    </xf>
    <xf numFmtId="0" fontId="10" fillId="0" borderId="57" xfId="0" applyFont="1" applyBorder="1" applyAlignment="1">
      <alignment horizontal="center" vertical="top"/>
    </xf>
    <xf numFmtId="166" fontId="10" fillId="0" borderId="58" xfId="0" applyNumberFormat="1" applyFont="1" applyBorder="1" applyAlignment="1">
      <alignment horizontal="center" vertical="top"/>
    </xf>
    <xf numFmtId="0" fontId="10" fillId="0" borderId="32" xfId="0" applyFont="1" applyBorder="1" applyAlignment="1">
      <alignment vertical="top"/>
    </xf>
    <xf numFmtId="0" fontId="5" fillId="0" borderId="40" xfId="0" applyFont="1" applyBorder="1" applyAlignment="1">
      <alignment vertical="top" wrapText="1"/>
    </xf>
    <xf numFmtId="0" fontId="3" fillId="0" borderId="59" xfId="0" applyFont="1" applyBorder="1"/>
    <xf numFmtId="0" fontId="0" fillId="9" borderId="0" xfId="0" applyFill="1"/>
    <xf numFmtId="0" fontId="13" fillId="9" borderId="0" xfId="0" applyFont="1" applyFill="1"/>
    <xf numFmtId="0" fontId="14" fillId="9" borderId="0" xfId="0" applyFont="1" applyFill="1"/>
    <xf numFmtId="164" fontId="15" fillId="0" borderId="13" xfId="0" applyNumberFormat="1" applyFont="1" applyBorder="1" applyAlignment="1">
      <alignment vertical="top"/>
    </xf>
    <xf numFmtId="0" fontId="16" fillId="6" borderId="12" xfId="0" applyFont="1" applyFill="1" applyBorder="1"/>
    <xf numFmtId="0" fontId="2" fillId="7" borderId="0" xfId="0" applyFont="1" applyFill="1" applyAlignment="1">
      <alignment vertical="top"/>
    </xf>
    <xf numFmtId="0" fontId="1" fillId="7" borderId="0" xfId="0" applyFont="1" applyFill="1" applyAlignment="1">
      <alignment vertical="top"/>
    </xf>
    <xf numFmtId="44" fontId="2" fillId="7" borderId="0" xfId="1" applyFont="1" applyFill="1" applyBorder="1" applyAlignment="1">
      <alignment vertical="top"/>
    </xf>
    <xf numFmtId="44" fontId="8" fillId="8" borderId="0" xfId="1" applyFont="1" applyFill="1" applyBorder="1" applyAlignment="1">
      <alignment vertical="top"/>
    </xf>
    <xf numFmtId="3" fontId="2" fillId="7" borderId="0" xfId="0" applyNumberFormat="1" applyFont="1" applyFill="1" applyAlignment="1">
      <alignment vertical="top"/>
    </xf>
    <xf numFmtId="6" fontId="1" fillId="7" borderId="0" xfId="0" applyNumberFormat="1" applyFont="1" applyFill="1" applyAlignment="1">
      <alignment vertical="top"/>
    </xf>
    <xf numFmtId="6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0" fontId="2" fillId="2" borderId="19" xfId="0" applyFont="1" applyFill="1" applyBorder="1" applyAlignment="1">
      <alignment vertical="top"/>
    </xf>
    <xf numFmtId="0" fontId="3" fillId="0" borderId="20" xfId="0" applyFont="1" applyBorder="1"/>
    <xf numFmtId="0" fontId="3" fillId="0" borderId="21" xfId="0" applyFont="1" applyBorder="1"/>
    <xf numFmtId="0" fontId="5" fillId="0" borderId="2" xfId="0" applyFont="1" applyBorder="1" applyAlignment="1">
      <alignment vertical="top" wrapText="1"/>
    </xf>
    <xf numFmtId="0" fontId="3" fillId="0" borderId="3" xfId="0" applyFont="1" applyBorder="1"/>
    <xf numFmtId="0" fontId="3" fillId="0" borderId="4" xfId="0" applyFont="1" applyBorder="1"/>
    <xf numFmtId="0" fontId="2" fillId="2" borderId="6" xfId="0" applyFont="1" applyFill="1" applyBorder="1" applyAlignment="1">
      <alignment horizontal="center" vertical="top"/>
    </xf>
    <xf numFmtId="0" fontId="11" fillId="0" borderId="7" xfId="0" applyFont="1" applyBorder="1"/>
    <xf numFmtId="0" fontId="2" fillId="2" borderId="19" xfId="0" applyFont="1" applyFill="1" applyBorder="1"/>
    <xf numFmtId="0" fontId="5" fillId="0" borderId="22" xfId="0" applyFont="1" applyBorder="1" applyAlignment="1">
      <alignment vertical="top"/>
    </xf>
    <xf numFmtId="0" fontId="3" fillId="0" borderId="23" xfId="0" applyFont="1" applyBorder="1"/>
    <xf numFmtId="0" fontId="3" fillId="0" borderId="24" xfId="0" applyFont="1" applyBorder="1"/>
    <xf numFmtId="0" fontId="2" fillId="0" borderId="26" xfId="0" applyFont="1" applyBorder="1" applyAlignment="1">
      <alignment vertical="top"/>
    </xf>
    <xf numFmtId="0" fontId="3" fillId="0" borderId="27" xfId="0" applyFont="1" applyBorder="1"/>
    <xf numFmtId="0" fontId="1" fillId="0" borderId="28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3" fillId="0" borderId="29" xfId="0" applyFont="1" applyBorder="1"/>
    <xf numFmtId="0" fontId="2" fillId="0" borderId="34" xfId="0" applyFont="1" applyBorder="1" applyAlignment="1">
      <alignment horizontal="center" vertical="top"/>
    </xf>
    <xf numFmtId="0" fontId="3" fillId="0" borderId="36" xfId="0" applyFont="1" applyBorder="1"/>
    <xf numFmtId="0" fontId="2" fillId="0" borderId="40" xfId="0" applyFont="1" applyBorder="1" applyAlignment="1">
      <alignment horizontal="center" vertical="center" textRotation="90"/>
    </xf>
    <xf numFmtId="0" fontId="3" fillId="0" borderId="47" xfId="0" applyFont="1" applyBorder="1"/>
    <xf numFmtId="0" fontId="3" fillId="0" borderId="52" xfId="0" applyFont="1" applyBorder="1"/>
    <xf numFmtId="0" fontId="2" fillId="2" borderId="33" xfId="0" applyFont="1" applyFill="1" applyBorder="1" applyAlignment="1">
      <alignment horizontal="center" vertical="top"/>
    </xf>
    <xf numFmtId="0" fontId="3" fillId="0" borderId="37" xfId="0" applyFont="1" applyBorder="1"/>
    <xf numFmtId="0" fontId="3" fillId="0" borderId="35" xfId="0" applyFont="1" applyBorder="1"/>
    <xf numFmtId="0" fontId="2" fillId="4" borderId="34" xfId="0" applyFont="1" applyFill="1" applyBorder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23215-7089-44BF-8472-E158B59E0860}">
  <sheetPr>
    <outlinePr summaryBelow="0" summaryRight="0"/>
  </sheetPr>
  <dimension ref="A1:AD1017"/>
  <sheetViews>
    <sheetView tabSelected="1" zoomScale="42" zoomScaleNormal="39" workbookViewId="0">
      <selection activeCell="G16" sqref="G16"/>
    </sheetView>
  </sheetViews>
  <sheetFormatPr defaultColWidth="12.59765625" defaultRowHeight="12.75" x14ac:dyDescent="0.35"/>
  <cols>
    <col min="1" max="1" width="3" customWidth="1"/>
    <col min="2" max="2" width="7.73046875" bestFit="1" customWidth="1"/>
    <col min="3" max="3" width="43.59765625" customWidth="1"/>
    <col min="4" max="4" width="26.86328125" bestFit="1" customWidth="1"/>
    <col min="5" max="5" width="28.33203125" bestFit="1" customWidth="1"/>
    <col min="6" max="6" width="37.265625" bestFit="1" customWidth="1"/>
    <col min="7" max="7" width="48.796875" bestFit="1" customWidth="1"/>
    <col min="8" max="8" width="67.1328125" bestFit="1" customWidth="1"/>
    <col min="9" max="9" width="37.9296875" bestFit="1" customWidth="1"/>
    <col min="10" max="10" width="25.796875" bestFit="1" customWidth="1"/>
    <col min="11" max="12" width="37.19921875" bestFit="1" customWidth="1"/>
    <col min="13" max="13" width="39.73046875" customWidth="1"/>
  </cols>
  <sheetData>
    <row r="1" spans="1:30" ht="22.15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2.5" x14ac:dyDescent="0.35">
      <c r="A2" s="1"/>
      <c r="B2" s="2"/>
      <c r="C2" s="50" t="s">
        <v>38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2.15" x14ac:dyDescent="0.35">
      <c r="A3" s="1"/>
      <c r="B3" s="2"/>
      <c r="C3" s="107" t="s">
        <v>39</v>
      </c>
      <c r="D3" s="108"/>
      <c r="E3" s="108"/>
      <c r="F3" s="108"/>
      <c r="G3" s="108"/>
      <c r="H3" s="108"/>
      <c r="I3" s="108"/>
      <c r="J3" s="10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2.15" x14ac:dyDescent="0.35">
      <c r="A4" s="1"/>
      <c r="B4" s="2"/>
      <c r="C4" s="89" t="s">
        <v>40</v>
      </c>
      <c r="D4" s="90"/>
      <c r="E4" s="90"/>
      <c r="F4" s="90"/>
      <c r="G4" s="48"/>
      <c r="H4" s="90"/>
      <c r="I4" s="48"/>
      <c r="J4" s="4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2.15" x14ac:dyDescent="0.35">
      <c r="A5" s="1"/>
      <c r="B5" s="2"/>
      <c r="C5" s="89" t="s">
        <v>41</v>
      </c>
      <c r="D5" s="90"/>
      <c r="E5" s="90"/>
      <c r="F5" s="90"/>
      <c r="G5" s="48"/>
      <c r="H5" s="90"/>
      <c r="I5" s="48"/>
      <c r="J5" s="49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2.5" thickBot="1" x14ac:dyDescent="0.4">
      <c r="A6" s="1"/>
      <c r="B6" s="2"/>
      <c r="C6" s="4"/>
      <c r="D6" s="4"/>
      <c r="E6" s="4"/>
      <c r="F6" s="4"/>
      <c r="G6" s="2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2.9" thickTop="1" x14ac:dyDescent="0.6">
      <c r="A7" s="1"/>
      <c r="B7" s="3"/>
      <c r="C7" s="110" t="s">
        <v>0</v>
      </c>
      <c r="D7" s="111"/>
      <c r="E7" s="111"/>
      <c r="F7" s="5" t="s">
        <v>1</v>
      </c>
      <c r="G7" s="6"/>
      <c r="H7" s="7" t="s">
        <v>2</v>
      </c>
      <c r="I7" s="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2.5" x14ac:dyDescent="0.6">
      <c r="A8" s="1"/>
      <c r="B8" s="3"/>
      <c r="C8" s="9" t="s">
        <v>3</v>
      </c>
      <c r="D8" s="10"/>
      <c r="E8" s="10"/>
      <c r="F8" s="51">
        <v>20000000</v>
      </c>
      <c r="G8" s="11"/>
      <c r="H8" s="57" t="s">
        <v>34</v>
      </c>
      <c r="I8" s="1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2.5" x14ac:dyDescent="0.6">
      <c r="A9" s="1"/>
      <c r="B9" s="3"/>
      <c r="C9" s="9" t="s">
        <v>28</v>
      </c>
      <c r="D9" s="13"/>
      <c r="E9" s="13"/>
      <c r="F9" s="52">
        <v>1.1797</v>
      </c>
      <c r="G9" s="14"/>
      <c r="H9" s="95" t="s">
        <v>35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2.9" thickBot="1" x14ac:dyDescent="0.4">
      <c r="A10" s="1"/>
      <c r="B10" s="3"/>
      <c r="C10" s="15" t="s">
        <v>4</v>
      </c>
      <c r="D10" s="16"/>
      <c r="E10" s="16"/>
      <c r="F10" s="17"/>
      <c r="G10" s="8"/>
      <c r="H10" s="94" t="s">
        <v>36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2.9" thickBot="1" x14ac:dyDescent="0.4">
      <c r="A11" s="1"/>
      <c r="B11" s="3"/>
      <c r="C11" s="9" t="s">
        <v>5</v>
      </c>
      <c r="D11" s="16"/>
      <c r="E11" s="16"/>
      <c r="F11" s="53">
        <v>3.6900000000000002E-2</v>
      </c>
      <c r="G11" s="8"/>
      <c r="H11" s="56" t="s">
        <v>37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2.15" x14ac:dyDescent="0.35">
      <c r="A12" s="1"/>
      <c r="B12" s="3"/>
      <c r="C12" s="9" t="s">
        <v>6</v>
      </c>
      <c r="D12" s="16"/>
      <c r="E12" s="16"/>
      <c r="F12" s="53">
        <v>0.02</v>
      </c>
      <c r="G12" s="1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2.15" x14ac:dyDescent="0.35">
      <c r="A13" s="1"/>
      <c r="B13" s="3"/>
      <c r="C13" s="15" t="s">
        <v>7</v>
      </c>
      <c r="D13" s="13"/>
      <c r="E13" s="13"/>
      <c r="F13" s="19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30" ht="22.15" x14ac:dyDescent="0.35">
      <c r="A14" s="1"/>
      <c r="B14" s="3"/>
      <c r="C14" s="9" t="s">
        <v>29</v>
      </c>
      <c r="D14" s="13"/>
      <c r="E14" s="13"/>
      <c r="F14" s="52">
        <v>1.199246</v>
      </c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30" ht="22.15" x14ac:dyDescent="0.35">
      <c r="A15" s="1"/>
      <c r="B15" s="3"/>
      <c r="C15" s="15" t="s">
        <v>8</v>
      </c>
      <c r="D15" s="2"/>
      <c r="E15" s="2"/>
      <c r="F15" s="20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30" ht="22.15" x14ac:dyDescent="0.55000000000000004">
      <c r="A16" s="1"/>
      <c r="B16" s="3"/>
      <c r="C16" s="21" t="s">
        <v>30</v>
      </c>
      <c r="D16" s="22"/>
      <c r="E16" s="22"/>
      <c r="F16" s="54">
        <v>1.1797</v>
      </c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30" ht="22.5" thickBot="1" x14ac:dyDescent="0.6">
      <c r="A17" s="1"/>
      <c r="B17" s="3"/>
      <c r="C17" s="23" t="s">
        <v>31</v>
      </c>
      <c r="D17" s="24"/>
      <c r="E17" s="24"/>
      <c r="F17" s="55">
        <v>1.1797</v>
      </c>
      <c r="G17" s="8"/>
      <c r="H17" s="2"/>
      <c r="I17" s="25"/>
      <c r="J17" s="25"/>
      <c r="K17" s="25"/>
      <c r="L17" s="25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30" ht="22.5" thickTop="1" x14ac:dyDescent="0.55000000000000004">
      <c r="A18" s="1"/>
      <c r="B18" s="2"/>
      <c r="C18" s="26"/>
      <c r="D18" s="26"/>
      <c r="E18" s="26"/>
      <c r="F18" s="26"/>
      <c r="G18" s="27"/>
      <c r="H18" s="4"/>
      <c r="I18" s="28"/>
      <c r="J18" s="2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30" ht="22.5" x14ac:dyDescent="0.6">
      <c r="A19" s="1"/>
      <c r="B19" s="3"/>
      <c r="C19" s="112" t="s">
        <v>9</v>
      </c>
      <c r="D19" s="105"/>
      <c r="E19" s="105"/>
      <c r="F19" s="105"/>
      <c r="G19" s="105"/>
      <c r="H19" s="105"/>
      <c r="I19" s="105"/>
      <c r="J19" s="106"/>
      <c r="K19" s="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2.5" x14ac:dyDescent="0.35">
      <c r="A20" s="1"/>
      <c r="B20" s="3"/>
      <c r="C20" s="113" t="s">
        <v>32</v>
      </c>
      <c r="D20" s="114"/>
      <c r="E20" s="115"/>
      <c r="F20" s="58">
        <f>F8*for_GBPUSD</f>
        <v>23984920</v>
      </c>
      <c r="G20" s="116" t="s">
        <v>10</v>
      </c>
      <c r="H20" s="114"/>
      <c r="I20" s="114"/>
      <c r="J20" s="117"/>
      <c r="K20" s="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2.15" x14ac:dyDescent="0.35">
      <c r="A21" s="1"/>
      <c r="B21" s="2"/>
      <c r="C21" s="26"/>
      <c r="D21" s="26"/>
      <c r="E21" s="26"/>
      <c r="F21" s="26"/>
      <c r="G21" s="29"/>
      <c r="H21" s="26"/>
      <c r="I21" s="26"/>
      <c r="J21" s="2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2.5" x14ac:dyDescent="0.35">
      <c r="A22" s="1"/>
      <c r="B22" s="3"/>
      <c r="C22" s="104" t="s">
        <v>11</v>
      </c>
      <c r="D22" s="105"/>
      <c r="E22" s="105"/>
      <c r="F22" s="105"/>
      <c r="G22" s="105"/>
      <c r="H22" s="105"/>
      <c r="I22" s="105"/>
      <c r="J22" s="106"/>
      <c r="K22" s="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2.15" x14ac:dyDescent="0.35">
      <c r="A23" s="1"/>
      <c r="B23" s="3"/>
      <c r="C23" s="118" t="s">
        <v>12</v>
      </c>
      <c r="D23" s="108"/>
      <c r="E23" s="109"/>
      <c r="F23" s="60">
        <f>F8/(1+F12)</f>
        <v>19607843.137254901</v>
      </c>
      <c r="G23" s="119"/>
      <c r="H23" s="108"/>
      <c r="I23" s="108"/>
      <c r="J23" s="120"/>
      <c r="K23" s="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2.15" x14ac:dyDescent="0.35">
      <c r="A24" s="1"/>
      <c r="B24" s="3"/>
      <c r="C24" s="118" t="s">
        <v>13</v>
      </c>
      <c r="D24" s="108"/>
      <c r="E24" s="109"/>
      <c r="F24" s="61">
        <f>F23*F9</f>
        <v>23131372.549019605</v>
      </c>
      <c r="G24" s="119"/>
      <c r="H24" s="108"/>
      <c r="I24" s="108"/>
      <c r="J24" s="120"/>
      <c r="K24" s="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2.15" x14ac:dyDescent="0.35">
      <c r="A25" s="1"/>
      <c r="B25" s="3"/>
      <c r="C25" s="118" t="s">
        <v>14</v>
      </c>
      <c r="D25" s="108"/>
      <c r="E25" s="109"/>
      <c r="F25" s="61">
        <f>F24*(1+F11)</f>
        <v>23984920.196078427</v>
      </c>
      <c r="G25" s="119"/>
      <c r="H25" s="108"/>
      <c r="I25" s="108"/>
      <c r="J25" s="120"/>
      <c r="K25" s="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2.5" x14ac:dyDescent="0.35">
      <c r="A26" s="1"/>
      <c r="B26" s="3"/>
      <c r="C26" s="30"/>
      <c r="D26" s="31"/>
      <c r="E26" s="31"/>
      <c r="F26" s="58">
        <f>F25</f>
        <v>23984920.196078427</v>
      </c>
      <c r="G26" s="116" t="s">
        <v>10</v>
      </c>
      <c r="H26" s="114"/>
      <c r="I26" s="114"/>
      <c r="J26" s="117"/>
      <c r="K26" s="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2.15" x14ac:dyDescent="0.35">
      <c r="A27" s="1"/>
      <c r="B27" s="2"/>
      <c r="C27" s="26"/>
      <c r="D27" s="26"/>
      <c r="E27" s="26"/>
      <c r="F27" s="26"/>
      <c r="G27" s="29"/>
      <c r="H27" s="26"/>
      <c r="I27" s="26"/>
      <c r="J27" s="2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2.5" x14ac:dyDescent="0.35">
      <c r="A28" s="1"/>
      <c r="B28" s="3"/>
      <c r="C28" s="104" t="s">
        <v>15</v>
      </c>
      <c r="D28" s="105"/>
      <c r="E28" s="105"/>
      <c r="F28" s="105"/>
      <c r="G28" s="105"/>
      <c r="H28" s="105"/>
      <c r="I28" s="105"/>
      <c r="J28" s="106"/>
      <c r="K28" s="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2.5" x14ac:dyDescent="0.55000000000000004">
      <c r="A29" s="1"/>
      <c r="B29" s="3"/>
      <c r="C29" s="118" t="s">
        <v>16</v>
      </c>
      <c r="D29" s="108"/>
      <c r="E29" s="109"/>
      <c r="F29" s="61">
        <f>-put_price*recievable</f>
        <v>-23594000</v>
      </c>
      <c r="G29" s="25" t="str">
        <f ca="1">_xlfn.FORMULATEXT(F29)</f>
        <v>=-put_price*recievable</v>
      </c>
      <c r="H29" s="2"/>
      <c r="I29" s="2"/>
      <c r="J29" s="32"/>
      <c r="K29" s="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2.15" x14ac:dyDescent="0.55000000000000004">
      <c r="A30" s="1"/>
      <c r="B30" s="3"/>
      <c r="C30" s="118" t="s">
        <v>17</v>
      </c>
      <c r="D30" s="108"/>
      <c r="E30" s="109"/>
      <c r="F30" s="61">
        <f>F29*(1+F11)</f>
        <v>-24464618.599999998</v>
      </c>
      <c r="G30" s="25"/>
      <c r="H30" s="2"/>
      <c r="I30" s="2"/>
      <c r="J30" s="32"/>
      <c r="K30" s="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2.5" x14ac:dyDescent="0.35">
      <c r="A31" s="1"/>
      <c r="B31" s="3"/>
      <c r="C31" s="30"/>
      <c r="D31" s="33"/>
      <c r="E31" s="33"/>
      <c r="F31" s="59">
        <f>MIN(G35:G47)</f>
        <v>-870618.60000000149</v>
      </c>
      <c r="G31" s="116" t="s">
        <v>33</v>
      </c>
      <c r="H31" s="114"/>
      <c r="I31" s="114"/>
      <c r="J31" s="117"/>
      <c r="K31" s="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2.15" x14ac:dyDescent="0.35">
      <c r="A32" s="1"/>
      <c r="B32" s="2"/>
      <c r="C32" s="34"/>
      <c r="D32" s="26"/>
      <c r="E32" s="26"/>
      <c r="F32" s="26"/>
      <c r="G32" s="29"/>
      <c r="H32" s="34"/>
      <c r="I32" s="34"/>
      <c r="J32" s="3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2.5" x14ac:dyDescent="0.35">
      <c r="A33" s="1"/>
      <c r="B33" s="3"/>
      <c r="C33" s="126" t="s">
        <v>18</v>
      </c>
      <c r="D33" s="121" t="s">
        <v>19</v>
      </c>
      <c r="E33" s="128"/>
      <c r="F33" s="128"/>
      <c r="G33" s="122"/>
      <c r="H33" s="129" t="s">
        <v>20</v>
      </c>
      <c r="I33" s="128"/>
      <c r="J33" s="122"/>
      <c r="K33" s="121" t="s">
        <v>21</v>
      </c>
      <c r="L33" s="122"/>
      <c r="M33" s="8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2.9" thickBot="1" x14ac:dyDescent="0.4">
      <c r="A34" s="1"/>
      <c r="B34" s="3"/>
      <c r="C34" s="127"/>
      <c r="D34" s="35" t="s">
        <v>22</v>
      </c>
      <c r="E34" s="36" t="s">
        <v>9</v>
      </c>
      <c r="F34" s="37" t="s">
        <v>11</v>
      </c>
      <c r="G34" s="38" t="s">
        <v>15</v>
      </c>
      <c r="H34" s="39" t="s">
        <v>23</v>
      </c>
      <c r="I34" s="40" t="s">
        <v>11</v>
      </c>
      <c r="J34" s="41" t="s">
        <v>15</v>
      </c>
      <c r="K34" s="35" t="s">
        <v>24</v>
      </c>
      <c r="L34" s="42" t="s">
        <v>25</v>
      </c>
      <c r="M34" s="8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2.5" thickBot="1" x14ac:dyDescent="0.6">
      <c r="A35" s="43"/>
      <c r="B35" s="123" t="s">
        <v>26</v>
      </c>
      <c r="C35" s="44">
        <f>C36-0.01</f>
        <v>1.1199999999999999</v>
      </c>
      <c r="D35" s="62">
        <f>C35*$F$8</f>
        <v>22399999.999999996</v>
      </c>
      <c r="E35" s="63">
        <f t="shared" ref="E35:E47" si="0">$D35+($F$14-C35)*$F$8</f>
        <v>23984920</v>
      </c>
      <c r="F35" s="64">
        <f t="shared" ref="F35:F47" si="1">$F$26</f>
        <v>23984920.196078427</v>
      </c>
      <c r="G35" s="65">
        <f>hedge_no+J35</f>
        <v>-870618.60000000149</v>
      </c>
      <c r="H35" s="66">
        <f t="shared" ref="H35:H47" si="2">($F$14-C35)*$F$8</f>
        <v>1584920.000000003</v>
      </c>
      <c r="I35" s="67">
        <f t="shared" ref="I35:I47" si="3">$F$26-D35</f>
        <v>1584920.1960784309</v>
      </c>
      <c r="J35" s="68">
        <f t="shared" ref="J35:J47" si="4">fv_put_outlay+MAX(0,(x_put-eurusd_1y_scenarios)*recievable)</f>
        <v>-23270618.599999998</v>
      </c>
      <c r="K35" s="69" t="str">
        <f t="shared" ref="K35:K47" si="5">IF(E35= MAX(D35,E35,F35,G35),$E$34,IF(F35= MAX(D35,E35,F35,G35),$F$34,IF(G35= MAX(D35,E35,F35,G35),$G$34,$D$34)))</f>
        <v>2. Money Market Hedge</v>
      </c>
      <c r="L35" s="70" t="str">
        <f t="shared" ref="L35:L47" si="6">IF(E35= MAX(E35,F35,G35),$E$34,IF(F35= MAX(E35,F35,G35),$F$34,$G$34))</f>
        <v>2. Money Market Hedge</v>
      </c>
      <c r="M35" s="8" t="s">
        <v>42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7.75" thickBot="1" x14ac:dyDescent="0.6">
      <c r="A36" s="43"/>
      <c r="B36" s="124"/>
      <c r="C36" s="45">
        <f t="shared" ref="C36:C40" si="7">C37-0.01</f>
        <v>1.1299999999999999</v>
      </c>
      <c r="D36" s="71">
        <f t="shared" ref="D36:D47" si="8">C36*$F$8</f>
        <v>22599999.999999996</v>
      </c>
      <c r="E36" s="72">
        <f t="shared" si="0"/>
        <v>23984920</v>
      </c>
      <c r="F36" s="73">
        <f t="shared" si="1"/>
        <v>23984920.196078427</v>
      </c>
      <c r="G36" s="74">
        <f t="shared" ref="G36:G47" si="9">$D36+J36</f>
        <v>-870618.60000000149</v>
      </c>
      <c r="H36" s="75">
        <f t="shared" si="2"/>
        <v>1384920.0000000028</v>
      </c>
      <c r="I36" s="76">
        <f t="shared" si="3"/>
        <v>1384920.1960784309</v>
      </c>
      <c r="J36" s="68">
        <f t="shared" si="4"/>
        <v>-23470618.599999998</v>
      </c>
      <c r="K36" s="77" t="str">
        <f t="shared" si="5"/>
        <v>2. Money Market Hedge</v>
      </c>
      <c r="L36" s="78" t="str">
        <f t="shared" si="6"/>
        <v>2. Money Market Hedge</v>
      </c>
      <c r="M36" s="46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2.5" thickBot="1" x14ac:dyDescent="0.6">
      <c r="A37" s="43"/>
      <c r="B37" s="124"/>
      <c r="C37" s="45">
        <f t="shared" si="7"/>
        <v>1.1399999999999999</v>
      </c>
      <c r="D37" s="71">
        <f t="shared" si="8"/>
        <v>22799999.999999996</v>
      </c>
      <c r="E37" s="72">
        <f t="shared" si="0"/>
        <v>23984920</v>
      </c>
      <c r="F37" s="73">
        <f t="shared" si="1"/>
        <v>23984920.196078427</v>
      </c>
      <c r="G37" s="74">
        <f t="shared" si="9"/>
        <v>-870618.60000000149</v>
      </c>
      <c r="H37" s="75">
        <f t="shared" si="2"/>
        <v>1184920.0000000026</v>
      </c>
      <c r="I37" s="76">
        <f t="shared" si="3"/>
        <v>1184920.1960784309</v>
      </c>
      <c r="J37" s="68">
        <f t="shared" si="4"/>
        <v>-23670618.599999998</v>
      </c>
      <c r="K37" s="77" t="str">
        <f t="shared" si="5"/>
        <v>2. Money Market Hedge</v>
      </c>
      <c r="L37" s="78" t="str">
        <f t="shared" si="6"/>
        <v>2. Money Market Hedge</v>
      </c>
      <c r="M37" s="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2.5" thickBot="1" x14ac:dyDescent="0.6">
      <c r="A38" s="43"/>
      <c r="B38" s="124"/>
      <c r="C38" s="45">
        <f t="shared" si="7"/>
        <v>1.1499999999999999</v>
      </c>
      <c r="D38" s="71">
        <f t="shared" si="8"/>
        <v>23000000</v>
      </c>
      <c r="E38" s="72">
        <f t="shared" si="0"/>
        <v>23984920.000000004</v>
      </c>
      <c r="F38" s="73">
        <f t="shared" si="1"/>
        <v>23984920.196078427</v>
      </c>
      <c r="G38" s="74">
        <f t="shared" si="9"/>
        <v>-870618.59999999776</v>
      </c>
      <c r="H38" s="75">
        <f t="shared" si="2"/>
        <v>984920.00000000244</v>
      </c>
      <c r="I38" s="76">
        <f t="shared" si="3"/>
        <v>984920.19607842714</v>
      </c>
      <c r="J38" s="68">
        <f t="shared" si="4"/>
        <v>-23870618.599999998</v>
      </c>
      <c r="K38" s="77" t="str">
        <f t="shared" si="5"/>
        <v>2. Money Market Hedge</v>
      </c>
      <c r="L38" s="78" t="str">
        <f t="shared" si="6"/>
        <v>2. Money Market Hedge</v>
      </c>
      <c r="M38" s="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2.5" thickBot="1" x14ac:dyDescent="0.6">
      <c r="A39" s="43"/>
      <c r="B39" s="124"/>
      <c r="C39" s="45">
        <f t="shared" si="7"/>
        <v>1.1599999999999999</v>
      </c>
      <c r="D39" s="71">
        <f t="shared" si="8"/>
        <v>23200000</v>
      </c>
      <c r="E39" s="72">
        <f>$D39+($F$14-C39)*$F$8</f>
        <v>23984920.000000004</v>
      </c>
      <c r="F39" s="73">
        <f>$F$26</f>
        <v>23984920.196078427</v>
      </c>
      <c r="G39" s="74">
        <f t="shared" si="9"/>
        <v>-870618.59999999776</v>
      </c>
      <c r="H39" s="75">
        <f t="shared" si="2"/>
        <v>784920.00000000233</v>
      </c>
      <c r="I39" s="76">
        <f t="shared" si="3"/>
        <v>784920.19607842714</v>
      </c>
      <c r="J39" s="68">
        <f t="shared" si="4"/>
        <v>-24070618.599999998</v>
      </c>
      <c r="K39" s="77" t="str">
        <f t="shared" si="5"/>
        <v>2. Money Market Hedge</v>
      </c>
      <c r="L39" s="78" t="str">
        <f t="shared" si="6"/>
        <v>2. Money Market Hedge</v>
      </c>
      <c r="M39" s="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2.5" thickBot="1" x14ac:dyDescent="0.6">
      <c r="A40" s="43"/>
      <c r="B40" s="124"/>
      <c r="C40" s="45">
        <f t="shared" si="7"/>
        <v>1.17</v>
      </c>
      <c r="D40" s="71">
        <f t="shared" si="8"/>
        <v>23400000</v>
      </c>
      <c r="E40" s="72">
        <f t="shared" si="0"/>
        <v>23984920.000000004</v>
      </c>
      <c r="F40" s="73">
        <f t="shared" si="1"/>
        <v>23984920.196078427</v>
      </c>
      <c r="G40" s="74">
        <f t="shared" si="9"/>
        <v>-870618.59999999776</v>
      </c>
      <c r="H40" s="75">
        <f t="shared" si="2"/>
        <v>584920.0000000021</v>
      </c>
      <c r="I40" s="76">
        <f t="shared" si="3"/>
        <v>584920.19607842714</v>
      </c>
      <c r="J40" s="68">
        <f t="shared" si="4"/>
        <v>-24270618.599999998</v>
      </c>
      <c r="K40" s="77" t="str">
        <f t="shared" si="5"/>
        <v>2. Money Market Hedge</v>
      </c>
      <c r="L40" s="78" t="str">
        <f t="shared" si="6"/>
        <v>2. Money Market Hedge</v>
      </c>
      <c r="M40" s="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22.5" thickBot="1" x14ac:dyDescent="0.6">
      <c r="A41" s="43"/>
      <c r="B41" s="124"/>
      <c r="C41" s="45">
        <v>1.18</v>
      </c>
      <c r="D41" s="71">
        <f t="shared" si="8"/>
        <v>23600000</v>
      </c>
      <c r="E41" s="72">
        <f t="shared" si="0"/>
        <v>23984920.000000004</v>
      </c>
      <c r="F41" s="73">
        <f t="shared" si="1"/>
        <v>23984920.196078427</v>
      </c>
      <c r="G41" s="74">
        <f t="shared" si="9"/>
        <v>-864618.59999999776</v>
      </c>
      <c r="H41" s="75">
        <f t="shared" si="2"/>
        <v>384920.00000000192</v>
      </c>
      <c r="I41" s="76">
        <f t="shared" si="3"/>
        <v>384920.19607842714</v>
      </c>
      <c r="J41" s="68">
        <f t="shared" si="4"/>
        <v>-24464618.599999998</v>
      </c>
      <c r="K41" s="77" t="str">
        <f t="shared" si="5"/>
        <v>2. Money Market Hedge</v>
      </c>
      <c r="L41" s="78" t="str">
        <f t="shared" si="6"/>
        <v>2. Money Market Hedge</v>
      </c>
      <c r="M41" s="8" t="s">
        <v>27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2.5" thickBot="1" x14ac:dyDescent="0.6">
      <c r="A42" s="43"/>
      <c r="B42" s="124"/>
      <c r="C42" s="45">
        <f t="shared" ref="C42:C47" si="10">C41+0.01</f>
        <v>1.19</v>
      </c>
      <c r="D42" s="71">
        <f t="shared" si="8"/>
        <v>23800000</v>
      </c>
      <c r="E42" s="72">
        <f t="shared" si="0"/>
        <v>23984920</v>
      </c>
      <c r="F42" s="73">
        <f t="shared" si="1"/>
        <v>23984920.196078427</v>
      </c>
      <c r="G42" s="74">
        <f t="shared" si="9"/>
        <v>-664618.59999999776</v>
      </c>
      <c r="H42" s="75">
        <f t="shared" si="2"/>
        <v>184920.00000000175</v>
      </c>
      <c r="I42" s="76">
        <f t="shared" si="3"/>
        <v>184920.19607842714</v>
      </c>
      <c r="J42" s="68">
        <f t="shared" si="4"/>
        <v>-24464618.599999998</v>
      </c>
      <c r="K42" s="77" t="str">
        <f t="shared" si="5"/>
        <v>2. Money Market Hedge</v>
      </c>
      <c r="L42" s="78" t="str">
        <f t="shared" si="6"/>
        <v>2. Money Market Hedge</v>
      </c>
      <c r="M42" s="8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2.5" thickBot="1" x14ac:dyDescent="0.6">
      <c r="A43" s="43"/>
      <c r="B43" s="124"/>
      <c r="C43" s="45">
        <f t="shared" si="10"/>
        <v>1.2</v>
      </c>
      <c r="D43" s="71">
        <f t="shared" si="8"/>
        <v>24000000</v>
      </c>
      <c r="E43" s="72">
        <f t="shared" si="0"/>
        <v>23984920</v>
      </c>
      <c r="F43" s="73">
        <f t="shared" si="1"/>
        <v>23984920.196078427</v>
      </c>
      <c r="G43" s="74">
        <f t="shared" si="9"/>
        <v>-464618.59999999776</v>
      </c>
      <c r="H43" s="75">
        <f t="shared" si="2"/>
        <v>-15079.999999998428</v>
      </c>
      <c r="I43" s="76">
        <f t="shared" si="3"/>
        <v>-15079.803921572864</v>
      </c>
      <c r="J43" s="68">
        <f t="shared" si="4"/>
        <v>-24464618.599999998</v>
      </c>
      <c r="K43" s="77" t="str">
        <f t="shared" si="5"/>
        <v>0. No Hedge</v>
      </c>
      <c r="L43" s="78" t="str">
        <f t="shared" si="6"/>
        <v>2. Money Market Hedge</v>
      </c>
      <c r="M43" s="8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22.5" thickBot="1" x14ac:dyDescent="0.6">
      <c r="A44" s="43"/>
      <c r="B44" s="124"/>
      <c r="C44" s="45">
        <f t="shared" si="10"/>
        <v>1.21</v>
      </c>
      <c r="D44" s="71">
        <f t="shared" si="8"/>
        <v>24200000</v>
      </c>
      <c r="E44" s="72">
        <f t="shared" si="0"/>
        <v>23984920</v>
      </c>
      <c r="F44" s="73">
        <f t="shared" si="1"/>
        <v>23984920.196078427</v>
      </c>
      <c r="G44" s="74">
        <f t="shared" si="9"/>
        <v>-264618.59999999776</v>
      </c>
      <c r="H44" s="75">
        <f t="shared" si="2"/>
        <v>-215079.9999999986</v>
      </c>
      <c r="I44" s="76">
        <f t="shared" si="3"/>
        <v>-215079.80392157286</v>
      </c>
      <c r="J44" s="68">
        <f t="shared" si="4"/>
        <v>-24464618.599999998</v>
      </c>
      <c r="K44" s="77" t="str">
        <f t="shared" si="5"/>
        <v>0. No Hedge</v>
      </c>
      <c r="L44" s="79" t="str">
        <f t="shared" si="6"/>
        <v>2. Money Market Hedge</v>
      </c>
      <c r="M44" s="8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22.5" thickBot="1" x14ac:dyDescent="0.6">
      <c r="A45" s="43"/>
      <c r="B45" s="124"/>
      <c r="C45" s="45">
        <f t="shared" si="10"/>
        <v>1.22</v>
      </c>
      <c r="D45" s="71">
        <f t="shared" si="8"/>
        <v>24400000</v>
      </c>
      <c r="E45" s="72">
        <f t="shared" si="0"/>
        <v>23984920</v>
      </c>
      <c r="F45" s="73">
        <f t="shared" si="1"/>
        <v>23984920.196078427</v>
      </c>
      <c r="G45" s="74">
        <f t="shared" si="9"/>
        <v>-64618.599999997765</v>
      </c>
      <c r="H45" s="75">
        <f t="shared" si="2"/>
        <v>-415079.99999999878</v>
      </c>
      <c r="I45" s="76">
        <f t="shared" si="3"/>
        <v>-415079.80392157286</v>
      </c>
      <c r="J45" s="68">
        <f t="shared" si="4"/>
        <v>-24464618.599999998</v>
      </c>
      <c r="K45" s="77" t="str">
        <f t="shared" si="5"/>
        <v>0. No Hedge</v>
      </c>
      <c r="L45" s="79" t="str">
        <f t="shared" si="6"/>
        <v>2. Money Market Hedge</v>
      </c>
      <c r="M45" s="8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22.5" thickBot="1" x14ac:dyDescent="0.6">
      <c r="A46" s="43"/>
      <c r="B46" s="124"/>
      <c r="C46" s="45">
        <f t="shared" si="10"/>
        <v>1.23</v>
      </c>
      <c r="D46" s="71">
        <f t="shared" si="8"/>
        <v>24600000</v>
      </c>
      <c r="E46" s="72">
        <f t="shared" si="0"/>
        <v>23984920</v>
      </c>
      <c r="F46" s="73">
        <f t="shared" si="1"/>
        <v>23984920.196078427</v>
      </c>
      <c r="G46" s="74">
        <f t="shared" si="9"/>
        <v>135381.40000000224</v>
      </c>
      <c r="H46" s="75">
        <f t="shared" si="2"/>
        <v>-615079.99999999895</v>
      </c>
      <c r="I46" s="76">
        <f t="shared" si="3"/>
        <v>-615079.80392157286</v>
      </c>
      <c r="J46" s="68">
        <f t="shared" si="4"/>
        <v>-24464618.599999998</v>
      </c>
      <c r="K46" s="77" t="str">
        <f t="shared" si="5"/>
        <v>0. No Hedge</v>
      </c>
      <c r="L46" s="79" t="str">
        <f t="shared" si="6"/>
        <v>2. Money Market Hedge</v>
      </c>
      <c r="M46" s="8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22.5" thickBot="1" x14ac:dyDescent="0.6">
      <c r="A47" s="43"/>
      <c r="B47" s="125"/>
      <c r="C47" s="47">
        <f t="shared" si="10"/>
        <v>1.24</v>
      </c>
      <c r="D47" s="80">
        <f t="shared" si="8"/>
        <v>24800000</v>
      </c>
      <c r="E47" s="81">
        <f t="shared" si="0"/>
        <v>23984920</v>
      </c>
      <c r="F47" s="82">
        <f t="shared" si="1"/>
        <v>23984920.196078427</v>
      </c>
      <c r="G47" s="83">
        <f t="shared" si="9"/>
        <v>335381.40000000224</v>
      </c>
      <c r="H47" s="84">
        <f t="shared" si="2"/>
        <v>-815079.99999999919</v>
      </c>
      <c r="I47" s="85">
        <f t="shared" si="3"/>
        <v>-815079.80392157286</v>
      </c>
      <c r="J47" s="68">
        <f t="shared" si="4"/>
        <v>-24464618.599999998</v>
      </c>
      <c r="K47" s="86" t="str">
        <f t="shared" si="5"/>
        <v>0. No Hedge</v>
      </c>
      <c r="L47" s="87" t="str">
        <f t="shared" si="6"/>
        <v>2. Money Market Hedge</v>
      </c>
      <c r="M47" s="8" t="s">
        <v>43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22.15" x14ac:dyDescent="0.35">
      <c r="A48" s="1"/>
      <c r="B48" s="2"/>
      <c r="C48" s="34"/>
      <c r="D48" s="88"/>
      <c r="E48" s="88"/>
      <c r="F48" s="88"/>
      <c r="G48" s="88"/>
      <c r="H48" s="88"/>
      <c r="I48" s="88"/>
      <c r="J48" s="88"/>
      <c r="K48" s="88"/>
      <c r="L48" s="88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2.15" x14ac:dyDescent="0.3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2.15" x14ac:dyDescent="0.35">
      <c r="A50" s="1"/>
      <c r="B50" s="2"/>
      <c r="C50" s="4"/>
      <c r="D50" s="4"/>
      <c r="E50" s="4"/>
      <c r="F50" s="4"/>
      <c r="G50" s="4"/>
      <c r="H50" s="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22.5" x14ac:dyDescent="0.35">
      <c r="A51" s="1"/>
      <c r="B51" s="3"/>
      <c r="C51" s="96" t="s">
        <v>49</v>
      </c>
      <c r="D51" s="97"/>
      <c r="E51" s="1"/>
      <c r="F51" s="1"/>
      <c r="G51" s="1"/>
      <c r="H51" s="1"/>
      <c r="I51" s="8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22.5" x14ac:dyDescent="0.35">
      <c r="A52" s="1"/>
      <c r="B52" s="3"/>
      <c r="C52" s="97" t="s">
        <v>50</v>
      </c>
      <c r="D52" s="98">
        <v>23600000</v>
      </c>
      <c r="E52" s="1"/>
      <c r="F52" s="1"/>
      <c r="G52" s="1"/>
      <c r="H52" s="1"/>
      <c r="I52" s="8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22.5" x14ac:dyDescent="0.35">
      <c r="A53" s="1"/>
      <c r="B53" s="3"/>
      <c r="C53" s="97" t="s">
        <v>51</v>
      </c>
      <c r="D53" s="99">
        <v>23984920</v>
      </c>
      <c r="E53" s="1"/>
      <c r="F53" s="1"/>
      <c r="G53" s="1"/>
      <c r="H53" s="1"/>
      <c r="I53" s="8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22.5" x14ac:dyDescent="0.35">
      <c r="A54" s="1"/>
      <c r="B54" s="3"/>
      <c r="C54" s="97" t="s">
        <v>52</v>
      </c>
      <c r="D54" s="99">
        <v>23984920</v>
      </c>
      <c r="E54" s="1"/>
      <c r="F54" s="1"/>
      <c r="G54" s="1"/>
      <c r="H54" s="1"/>
      <c r="I54" s="8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22.5" x14ac:dyDescent="0.35">
      <c r="A55" s="1"/>
      <c r="B55" s="3"/>
      <c r="C55" s="97" t="s">
        <v>53</v>
      </c>
      <c r="D55" s="100">
        <v>-864619</v>
      </c>
      <c r="E55" s="1"/>
      <c r="F55" s="1"/>
      <c r="G55" s="1"/>
      <c r="H55" s="1"/>
      <c r="I55" s="8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2.15" x14ac:dyDescent="0.35">
      <c r="A56" s="1"/>
      <c r="B56" s="3"/>
      <c r="C56" s="97" t="s">
        <v>54</v>
      </c>
      <c r="D56" s="101">
        <v>0</v>
      </c>
      <c r="E56" s="1"/>
      <c r="F56" s="1"/>
      <c r="G56" s="1"/>
      <c r="H56" s="1"/>
      <c r="I56" s="8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22.15" x14ac:dyDescent="0.35">
      <c r="A57" s="1"/>
      <c r="B57" s="3"/>
      <c r="C57" s="1"/>
      <c r="D57" s="102"/>
      <c r="E57" s="1"/>
      <c r="F57" s="1"/>
      <c r="G57" s="1"/>
      <c r="H57" s="1"/>
      <c r="I57" s="8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2.5" x14ac:dyDescent="0.35">
      <c r="A58" s="1"/>
      <c r="B58" s="3"/>
      <c r="C58" s="97" t="s">
        <v>55</v>
      </c>
      <c r="D58" s="103" t="s">
        <v>65</v>
      </c>
      <c r="E58" s="1"/>
      <c r="F58" s="1"/>
      <c r="G58" s="1"/>
      <c r="H58" s="1"/>
      <c r="I58" s="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2.5" x14ac:dyDescent="0.35">
      <c r="A59" s="1"/>
      <c r="B59" s="3"/>
      <c r="C59" s="97" t="s">
        <v>56</v>
      </c>
      <c r="D59" s="103" t="s">
        <v>66</v>
      </c>
      <c r="E59" s="1"/>
      <c r="F59" s="1"/>
      <c r="G59" s="1"/>
      <c r="H59" s="1"/>
      <c r="I59" s="8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2.15" x14ac:dyDescent="0.35">
      <c r="A60" s="1"/>
      <c r="B60" s="2"/>
      <c r="C60" s="34"/>
      <c r="D60" s="34"/>
      <c r="E60" s="34"/>
      <c r="F60" s="34"/>
      <c r="G60" s="34"/>
      <c r="H60" s="3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2.15" x14ac:dyDescent="0.3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2.15" x14ac:dyDescent="0.3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2.15" x14ac:dyDescent="0.3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2.15" x14ac:dyDescent="0.3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2.15" x14ac:dyDescent="0.3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2.15" x14ac:dyDescent="0.3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2.15" x14ac:dyDescent="0.3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2.15" x14ac:dyDescent="0.3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2.15" x14ac:dyDescent="0.3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2.15" x14ac:dyDescent="0.3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2.15" x14ac:dyDescent="0.3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2.15" x14ac:dyDescent="0.3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2.15" x14ac:dyDescent="0.3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2.15" x14ac:dyDescent="0.3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2.15" x14ac:dyDescent="0.3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2.15" x14ac:dyDescent="0.3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2.15" x14ac:dyDescent="0.3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2.15" x14ac:dyDescent="0.3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2.15" x14ac:dyDescent="0.3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2.15" x14ac:dyDescent="0.3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2.15" x14ac:dyDescent="0.3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2.15" x14ac:dyDescent="0.3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2.15" x14ac:dyDescent="0.3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2.15" x14ac:dyDescent="0.3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2.15" x14ac:dyDescent="0.3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2.15" x14ac:dyDescent="0.3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2.15" x14ac:dyDescent="0.3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2.15" x14ac:dyDescent="0.3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2.15" x14ac:dyDescent="0.3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2.15" x14ac:dyDescent="0.3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2.15" x14ac:dyDescent="0.3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2.15" x14ac:dyDescent="0.3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2.15" x14ac:dyDescent="0.3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2.15" x14ac:dyDescent="0.3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2.15" x14ac:dyDescent="0.3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2.15" x14ac:dyDescent="0.3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2.15" x14ac:dyDescent="0.3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2.15" x14ac:dyDescent="0.3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2.15" x14ac:dyDescent="0.3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2.15" x14ac:dyDescent="0.3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2.15" x14ac:dyDescent="0.3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2.15" x14ac:dyDescent="0.3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2.15" x14ac:dyDescent="0.3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2.15" x14ac:dyDescent="0.3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2.15" x14ac:dyDescent="0.3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2.15" x14ac:dyDescent="0.3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2.15" x14ac:dyDescent="0.3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2.15" x14ac:dyDescent="0.3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2.15" x14ac:dyDescent="0.3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2.15" x14ac:dyDescent="0.3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2.15" x14ac:dyDescent="0.3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2.15" x14ac:dyDescent="0.3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2.15" x14ac:dyDescent="0.3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2.15" x14ac:dyDescent="0.3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2.15" x14ac:dyDescent="0.3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2.15" x14ac:dyDescent="0.3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2.15" x14ac:dyDescent="0.3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2.15" x14ac:dyDescent="0.3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2.15" x14ac:dyDescent="0.3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2.15" x14ac:dyDescent="0.3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2.15" x14ac:dyDescent="0.3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2.15" x14ac:dyDescent="0.3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2.15" x14ac:dyDescent="0.3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2.15" x14ac:dyDescent="0.3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2.15" x14ac:dyDescent="0.3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2.15" x14ac:dyDescent="0.3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2.15" x14ac:dyDescent="0.3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2.15" x14ac:dyDescent="0.3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2.15" x14ac:dyDescent="0.3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2.15" x14ac:dyDescent="0.3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2.15" x14ac:dyDescent="0.3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2.15" x14ac:dyDescent="0.3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2.15" x14ac:dyDescent="0.3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2.15" x14ac:dyDescent="0.3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2.15" x14ac:dyDescent="0.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2.15" x14ac:dyDescent="0.3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2.15" x14ac:dyDescent="0.3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2.15" x14ac:dyDescent="0.3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2.15" x14ac:dyDescent="0.3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2.15" x14ac:dyDescent="0.3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2.15" x14ac:dyDescent="0.3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2.15" x14ac:dyDescent="0.3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2.15" x14ac:dyDescent="0.3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2.15" x14ac:dyDescent="0.3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2.15" x14ac:dyDescent="0.3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2.15" x14ac:dyDescent="0.3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2.15" x14ac:dyDescent="0.3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2.15" x14ac:dyDescent="0.3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2.15" x14ac:dyDescent="0.3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2.15" x14ac:dyDescent="0.3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2.15" x14ac:dyDescent="0.3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2.15" x14ac:dyDescent="0.3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2.15" x14ac:dyDescent="0.3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2.15" x14ac:dyDescent="0.3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2.15" x14ac:dyDescent="0.3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2.15" x14ac:dyDescent="0.3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2.15" x14ac:dyDescent="0.3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2.15" x14ac:dyDescent="0.3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2.15" x14ac:dyDescent="0.3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2.15" x14ac:dyDescent="0.3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2.15" x14ac:dyDescent="0.3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2.15" x14ac:dyDescent="0.3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2.15" x14ac:dyDescent="0.3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2.15" x14ac:dyDescent="0.3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2.15" x14ac:dyDescent="0.3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2.15" x14ac:dyDescent="0.3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2.15" x14ac:dyDescent="0.3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2.15" x14ac:dyDescent="0.3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2.15" x14ac:dyDescent="0.3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2.15" x14ac:dyDescent="0.3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2.15" x14ac:dyDescent="0.3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2.15" x14ac:dyDescent="0.3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2.15" x14ac:dyDescent="0.3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2.15" x14ac:dyDescent="0.3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2.15" x14ac:dyDescent="0.3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2.15" x14ac:dyDescent="0.3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2.15" x14ac:dyDescent="0.3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2.15" x14ac:dyDescent="0.3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2.15" x14ac:dyDescent="0.3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2.15" x14ac:dyDescent="0.3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2.15" x14ac:dyDescent="0.3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2.15" x14ac:dyDescent="0.3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2.15" x14ac:dyDescent="0.3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2.15" x14ac:dyDescent="0.3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2.15" x14ac:dyDescent="0.3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2.15" x14ac:dyDescent="0.3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2.15" x14ac:dyDescent="0.3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2.15" x14ac:dyDescent="0.3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2.15" x14ac:dyDescent="0.3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2.15" x14ac:dyDescent="0.3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2.15" x14ac:dyDescent="0.3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2.15" x14ac:dyDescent="0.3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2.15" x14ac:dyDescent="0.3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2.15" x14ac:dyDescent="0.3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2.15" x14ac:dyDescent="0.3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2.15" x14ac:dyDescent="0.3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2.15" x14ac:dyDescent="0.3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2.15" x14ac:dyDescent="0.3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2.15" x14ac:dyDescent="0.3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2.15" x14ac:dyDescent="0.3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2.15" x14ac:dyDescent="0.3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2.15" x14ac:dyDescent="0.3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2.15" x14ac:dyDescent="0.3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2.15" x14ac:dyDescent="0.3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2.15" x14ac:dyDescent="0.3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2.15" x14ac:dyDescent="0.3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2.15" x14ac:dyDescent="0.3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2.15" x14ac:dyDescent="0.3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2.15" x14ac:dyDescent="0.3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2.15" x14ac:dyDescent="0.3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2.15" x14ac:dyDescent="0.3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2.15" x14ac:dyDescent="0.3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2.15" x14ac:dyDescent="0.3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2.15" x14ac:dyDescent="0.3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2.15" x14ac:dyDescent="0.3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2.15" x14ac:dyDescent="0.3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2.15" x14ac:dyDescent="0.3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2.15" x14ac:dyDescent="0.3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2.15" x14ac:dyDescent="0.3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2.15" x14ac:dyDescent="0.3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2.15" x14ac:dyDescent="0.3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2.15" x14ac:dyDescent="0.3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2.15" x14ac:dyDescent="0.3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2.15" x14ac:dyDescent="0.3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2.15" x14ac:dyDescent="0.3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2.15" x14ac:dyDescent="0.3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2.15" x14ac:dyDescent="0.3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2.15" x14ac:dyDescent="0.3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2.15" x14ac:dyDescent="0.3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2.15" x14ac:dyDescent="0.3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2.15" x14ac:dyDescent="0.3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2.15" x14ac:dyDescent="0.3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2.15" x14ac:dyDescent="0.3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2.15" x14ac:dyDescent="0.3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2.15" x14ac:dyDescent="0.3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2.15" x14ac:dyDescent="0.3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2.15" x14ac:dyDescent="0.3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2.15" x14ac:dyDescent="0.3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2.15" x14ac:dyDescent="0.3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2.15" x14ac:dyDescent="0.3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2.15" x14ac:dyDescent="0.3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2.15" x14ac:dyDescent="0.3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2.15" x14ac:dyDescent="0.3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2.15" x14ac:dyDescent="0.3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2.15" x14ac:dyDescent="0.3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2.15" x14ac:dyDescent="0.3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2.15" x14ac:dyDescent="0.3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2.15" x14ac:dyDescent="0.3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2.15" x14ac:dyDescent="0.3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2.15" x14ac:dyDescent="0.3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2.15" x14ac:dyDescent="0.3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2.15" x14ac:dyDescent="0.3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2.15" x14ac:dyDescent="0.3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2.15" x14ac:dyDescent="0.3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2.15" x14ac:dyDescent="0.3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2.15" x14ac:dyDescent="0.3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2.15" x14ac:dyDescent="0.3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2.15" x14ac:dyDescent="0.3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2.15" x14ac:dyDescent="0.3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2.15" x14ac:dyDescent="0.3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2.15" x14ac:dyDescent="0.3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2.15" x14ac:dyDescent="0.3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2.15" x14ac:dyDescent="0.3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2.15" x14ac:dyDescent="0.3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2.15" x14ac:dyDescent="0.3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2.15" x14ac:dyDescent="0.3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2.15" x14ac:dyDescent="0.3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2.15" x14ac:dyDescent="0.3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2.15" x14ac:dyDescent="0.3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2.15" x14ac:dyDescent="0.3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2.15" x14ac:dyDescent="0.3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2.15" x14ac:dyDescent="0.3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2.15" x14ac:dyDescent="0.3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2.15" x14ac:dyDescent="0.3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2.15" x14ac:dyDescent="0.3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2.15" x14ac:dyDescent="0.3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2.15" x14ac:dyDescent="0.3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2.15" x14ac:dyDescent="0.3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2.15" x14ac:dyDescent="0.3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2.15" x14ac:dyDescent="0.3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2.15" x14ac:dyDescent="0.3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2.15" x14ac:dyDescent="0.3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2.15" x14ac:dyDescent="0.3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2.15" x14ac:dyDescent="0.3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2.15" x14ac:dyDescent="0.3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2.15" x14ac:dyDescent="0.3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2.15" x14ac:dyDescent="0.3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2.15" x14ac:dyDescent="0.3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2.15" x14ac:dyDescent="0.3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2.15" x14ac:dyDescent="0.3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2.15" x14ac:dyDescent="0.3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2.15" x14ac:dyDescent="0.3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2.15" x14ac:dyDescent="0.3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2.15" x14ac:dyDescent="0.3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2.15" x14ac:dyDescent="0.3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2.15" x14ac:dyDescent="0.3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2.15" x14ac:dyDescent="0.3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2.15" x14ac:dyDescent="0.3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2.15" x14ac:dyDescent="0.3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2.15" x14ac:dyDescent="0.3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2.15" x14ac:dyDescent="0.3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2.15" x14ac:dyDescent="0.3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2.15" x14ac:dyDescent="0.3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2.15" x14ac:dyDescent="0.3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2.15" x14ac:dyDescent="0.3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2.15" x14ac:dyDescent="0.3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2.15" x14ac:dyDescent="0.3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2.15" x14ac:dyDescent="0.3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2.15" x14ac:dyDescent="0.3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2.15" x14ac:dyDescent="0.3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2.15" x14ac:dyDescent="0.3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2.15" x14ac:dyDescent="0.3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2.15" x14ac:dyDescent="0.3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2.15" x14ac:dyDescent="0.3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2.15" x14ac:dyDescent="0.3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2.15" x14ac:dyDescent="0.3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2.15" x14ac:dyDescent="0.3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2.15" x14ac:dyDescent="0.3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2.15" x14ac:dyDescent="0.3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2.15" x14ac:dyDescent="0.3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2.15" x14ac:dyDescent="0.3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2.15" x14ac:dyDescent="0.3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2.15" x14ac:dyDescent="0.3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2.15" x14ac:dyDescent="0.3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2.15" x14ac:dyDescent="0.3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2.15" x14ac:dyDescent="0.3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2.15" x14ac:dyDescent="0.3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2.15" x14ac:dyDescent="0.3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2.15" x14ac:dyDescent="0.3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2.15" x14ac:dyDescent="0.3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2.15" x14ac:dyDescent="0.3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2.15" x14ac:dyDescent="0.3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2.15" x14ac:dyDescent="0.3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2.15" x14ac:dyDescent="0.3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2.15" x14ac:dyDescent="0.3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2.15" x14ac:dyDescent="0.3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2.15" x14ac:dyDescent="0.3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2.15" x14ac:dyDescent="0.3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2.15" x14ac:dyDescent="0.3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2.15" x14ac:dyDescent="0.3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2.15" x14ac:dyDescent="0.3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2.15" x14ac:dyDescent="0.3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2.15" x14ac:dyDescent="0.3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2.15" x14ac:dyDescent="0.3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2.15" x14ac:dyDescent="0.3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2.15" x14ac:dyDescent="0.3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2.15" x14ac:dyDescent="0.3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2.15" x14ac:dyDescent="0.3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2.15" x14ac:dyDescent="0.3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2.15" x14ac:dyDescent="0.3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2.15" x14ac:dyDescent="0.3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2.15" x14ac:dyDescent="0.3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2.15" x14ac:dyDescent="0.3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2.15" x14ac:dyDescent="0.3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2.15" x14ac:dyDescent="0.3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2.15" x14ac:dyDescent="0.3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2.15" x14ac:dyDescent="0.3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2.15" x14ac:dyDescent="0.3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2.15" x14ac:dyDescent="0.3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2.15" x14ac:dyDescent="0.3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2.15" x14ac:dyDescent="0.3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2.15" x14ac:dyDescent="0.3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2.15" x14ac:dyDescent="0.3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2.15" x14ac:dyDescent="0.3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2.15" x14ac:dyDescent="0.3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2.15" x14ac:dyDescent="0.3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2.15" x14ac:dyDescent="0.3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2.15" x14ac:dyDescent="0.3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2.15" x14ac:dyDescent="0.3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2.15" x14ac:dyDescent="0.3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2.15" x14ac:dyDescent="0.3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2.15" x14ac:dyDescent="0.3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2.15" x14ac:dyDescent="0.3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2.15" x14ac:dyDescent="0.3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2.15" x14ac:dyDescent="0.3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2.15" x14ac:dyDescent="0.3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2.15" x14ac:dyDescent="0.3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2.15" x14ac:dyDescent="0.3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2.15" x14ac:dyDescent="0.3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2.15" x14ac:dyDescent="0.3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2.15" x14ac:dyDescent="0.3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2.15" x14ac:dyDescent="0.3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2.15" x14ac:dyDescent="0.3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2.15" x14ac:dyDescent="0.3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2.15" x14ac:dyDescent="0.3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2.15" x14ac:dyDescent="0.3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2.15" x14ac:dyDescent="0.3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2.15" x14ac:dyDescent="0.3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2.15" x14ac:dyDescent="0.3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2.15" x14ac:dyDescent="0.3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2.15" x14ac:dyDescent="0.3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2.15" x14ac:dyDescent="0.3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2.15" x14ac:dyDescent="0.3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2.15" x14ac:dyDescent="0.3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2.15" x14ac:dyDescent="0.3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2.15" x14ac:dyDescent="0.3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2.15" x14ac:dyDescent="0.3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2.15" x14ac:dyDescent="0.3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2.15" x14ac:dyDescent="0.3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2.15" x14ac:dyDescent="0.3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2.15" x14ac:dyDescent="0.3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2.15" x14ac:dyDescent="0.3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2.15" x14ac:dyDescent="0.3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2.15" x14ac:dyDescent="0.3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2.15" x14ac:dyDescent="0.3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2.15" x14ac:dyDescent="0.3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2.15" x14ac:dyDescent="0.3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2.15" x14ac:dyDescent="0.3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2.15" x14ac:dyDescent="0.3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2.15" x14ac:dyDescent="0.3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2.15" x14ac:dyDescent="0.3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2.15" x14ac:dyDescent="0.3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2.15" x14ac:dyDescent="0.3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2.15" x14ac:dyDescent="0.3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2.15" x14ac:dyDescent="0.3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2.15" x14ac:dyDescent="0.3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2.15" x14ac:dyDescent="0.3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2.15" x14ac:dyDescent="0.3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2.15" x14ac:dyDescent="0.3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2.15" x14ac:dyDescent="0.3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2.15" x14ac:dyDescent="0.3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2.15" x14ac:dyDescent="0.3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2.15" x14ac:dyDescent="0.3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2.15" x14ac:dyDescent="0.3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2.15" x14ac:dyDescent="0.3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2.15" x14ac:dyDescent="0.3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2.15" x14ac:dyDescent="0.3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2.15" x14ac:dyDescent="0.3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2.15" x14ac:dyDescent="0.3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2.15" x14ac:dyDescent="0.3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2.15" x14ac:dyDescent="0.3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2.15" x14ac:dyDescent="0.3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2.15" x14ac:dyDescent="0.3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2.15" x14ac:dyDescent="0.3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2.15" x14ac:dyDescent="0.3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2.15" x14ac:dyDescent="0.3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2.15" x14ac:dyDescent="0.3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2.15" x14ac:dyDescent="0.3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2.15" x14ac:dyDescent="0.3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2.15" x14ac:dyDescent="0.3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2.15" x14ac:dyDescent="0.3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2.15" x14ac:dyDescent="0.3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2.15" x14ac:dyDescent="0.3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2.15" x14ac:dyDescent="0.3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2.15" x14ac:dyDescent="0.3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2.15" x14ac:dyDescent="0.3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2.15" x14ac:dyDescent="0.3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2.15" x14ac:dyDescent="0.3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2.15" x14ac:dyDescent="0.3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2.15" x14ac:dyDescent="0.3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2.15" x14ac:dyDescent="0.3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2.15" x14ac:dyDescent="0.3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2.15" x14ac:dyDescent="0.3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2.15" x14ac:dyDescent="0.3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2.15" x14ac:dyDescent="0.3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2.15" x14ac:dyDescent="0.3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2.15" x14ac:dyDescent="0.3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2.15" x14ac:dyDescent="0.3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2.15" x14ac:dyDescent="0.3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2.15" x14ac:dyDescent="0.3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2.15" x14ac:dyDescent="0.3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2.15" x14ac:dyDescent="0.3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2.15" x14ac:dyDescent="0.3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2.15" x14ac:dyDescent="0.3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2.15" x14ac:dyDescent="0.3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2.15" x14ac:dyDescent="0.3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2.15" x14ac:dyDescent="0.3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2.15" x14ac:dyDescent="0.3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2.15" x14ac:dyDescent="0.3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2.15" x14ac:dyDescent="0.3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2.15" x14ac:dyDescent="0.3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2.15" x14ac:dyDescent="0.3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2.15" x14ac:dyDescent="0.3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2.15" x14ac:dyDescent="0.3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2.15" x14ac:dyDescent="0.3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2.15" x14ac:dyDescent="0.3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2.15" x14ac:dyDescent="0.3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2.15" x14ac:dyDescent="0.3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2.15" x14ac:dyDescent="0.3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2.15" x14ac:dyDescent="0.3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2.15" x14ac:dyDescent="0.3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2.15" x14ac:dyDescent="0.3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2.15" x14ac:dyDescent="0.3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2.15" x14ac:dyDescent="0.3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2.15" x14ac:dyDescent="0.3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2.15" x14ac:dyDescent="0.3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2.15" x14ac:dyDescent="0.3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2.15" x14ac:dyDescent="0.3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2.15" x14ac:dyDescent="0.3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2.15" x14ac:dyDescent="0.3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2.15" x14ac:dyDescent="0.3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2.15" x14ac:dyDescent="0.3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2.15" x14ac:dyDescent="0.3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2.15" x14ac:dyDescent="0.3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2.15" x14ac:dyDescent="0.3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2.15" x14ac:dyDescent="0.3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2.15" x14ac:dyDescent="0.3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2.15" x14ac:dyDescent="0.3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2.15" x14ac:dyDescent="0.3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2.15" x14ac:dyDescent="0.3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2.15" x14ac:dyDescent="0.3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2.15" x14ac:dyDescent="0.3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2.15" x14ac:dyDescent="0.3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2.15" x14ac:dyDescent="0.3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2.15" x14ac:dyDescent="0.3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2.15" x14ac:dyDescent="0.3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2.15" x14ac:dyDescent="0.3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2.15" x14ac:dyDescent="0.3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2.15" x14ac:dyDescent="0.3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2.15" x14ac:dyDescent="0.3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2.15" x14ac:dyDescent="0.3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2.15" x14ac:dyDescent="0.3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2.15" x14ac:dyDescent="0.3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2.15" x14ac:dyDescent="0.3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2.15" x14ac:dyDescent="0.3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2.15" x14ac:dyDescent="0.3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2.15" x14ac:dyDescent="0.3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2.15" x14ac:dyDescent="0.3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2.15" x14ac:dyDescent="0.3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2.15" x14ac:dyDescent="0.3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2.15" x14ac:dyDescent="0.3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2.15" x14ac:dyDescent="0.3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2.15" x14ac:dyDescent="0.3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2.15" x14ac:dyDescent="0.3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2.15" x14ac:dyDescent="0.3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2.15" x14ac:dyDescent="0.3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2.15" x14ac:dyDescent="0.3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2.15" x14ac:dyDescent="0.3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2.15" x14ac:dyDescent="0.3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2.15" x14ac:dyDescent="0.3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2.15" x14ac:dyDescent="0.3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2.15" x14ac:dyDescent="0.3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2.15" x14ac:dyDescent="0.3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2.15" x14ac:dyDescent="0.3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2.15" x14ac:dyDescent="0.3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2.15" x14ac:dyDescent="0.3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2.15" x14ac:dyDescent="0.3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2.15" x14ac:dyDescent="0.3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2.15" x14ac:dyDescent="0.3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2.15" x14ac:dyDescent="0.3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2.15" x14ac:dyDescent="0.3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2.15" x14ac:dyDescent="0.3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2.15" x14ac:dyDescent="0.3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2.15" x14ac:dyDescent="0.3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2.15" x14ac:dyDescent="0.3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2.15" x14ac:dyDescent="0.3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2.15" x14ac:dyDescent="0.3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2.15" x14ac:dyDescent="0.3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2.15" x14ac:dyDescent="0.3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2.15" x14ac:dyDescent="0.3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2.15" x14ac:dyDescent="0.3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2.15" x14ac:dyDescent="0.3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2.15" x14ac:dyDescent="0.3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2.15" x14ac:dyDescent="0.3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2.15" x14ac:dyDescent="0.3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2.15" x14ac:dyDescent="0.3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2.15" x14ac:dyDescent="0.3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2.15" x14ac:dyDescent="0.3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2.15" x14ac:dyDescent="0.3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2.15" x14ac:dyDescent="0.3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2.15" x14ac:dyDescent="0.3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2.15" x14ac:dyDescent="0.3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2.15" x14ac:dyDescent="0.3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2.15" x14ac:dyDescent="0.3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2.15" x14ac:dyDescent="0.3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2.15" x14ac:dyDescent="0.3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2.15" x14ac:dyDescent="0.3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2.15" x14ac:dyDescent="0.3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2.15" x14ac:dyDescent="0.3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2.15" x14ac:dyDescent="0.3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2.15" x14ac:dyDescent="0.3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2.15" x14ac:dyDescent="0.3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2.15" x14ac:dyDescent="0.3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2.15" x14ac:dyDescent="0.3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2.15" x14ac:dyDescent="0.3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2.15" x14ac:dyDescent="0.3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2.15" x14ac:dyDescent="0.3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2.15" x14ac:dyDescent="0.3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2.15" x14ac:dyDescent="0.3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2.15" x14ac:dyDescent="0.3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2.15" x14ac:dyDescent="0.3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2.15" x14ac:dyDescent="0.3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2.15" x14ac:dyDescent="0.3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2.15" x14ac:dyDescent="0.3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2.15" x14ac:dyDescent="0.3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2.15" x14ac:dyDescent="0.3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2.15" x14ac:dyDescent="0.3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2.15" x14ac:dyDescent="0.3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2.15" x14ac:dyDescent="0.3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2.15" x14ac:dyDescent="0.3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2.15" x14ac:dyDescent="0.3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2.15" x14ac:dyDescent="0.3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2.15" x14ac:dyDescent="0.3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2.15" x14ac:dyDescent="0.3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2.15" x14ac:dyDescent="0.3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2.15" x14ac:dyDescent="0.3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2.15" x14ac:dyDescent="0.3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2.15" x14ac:dyDescent="0.3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2.15" x14ac:dyDescent="0.3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2.15" x14ac:dyDescent="0.3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2.15" x14ac:dyDescent="0.3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2.15" x14ac:dyDescent="0.3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2.15" x14ac:dyDescent="0.3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2.15" x14ac:dyDescent="0.3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2.15" x14ac:dyDescent="0.3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2.15" x14ac:dyDescent="0.3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2.15" x14ac:dyDescent="0.3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2.15" x14ac:dyDescent="0.3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2.15" x14ac:dyDescent="0.3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2.15" x14ac:dyDescent="0.3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2.15" x14ac:dyDescent="0.3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2.15" x14ac:dyDescent="0.3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2.15" x14ac:dyDescent="0.3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2.15" x14ac:dyDescent="0.3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2.15" x14ac:dyDescent="0.3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2.15" x14ac:dyDescent="0.3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2.15" x14ac:dyDescent="0.3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2.15" x14ac:dyDescent="0.3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2.15" x14ac:dyDescent="0.3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2.15" x14ac:dyDescent="0.3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2.15" x14ac:dyDescent="0.3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2.15" x14ac:dyDescent="0.3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2.15" x14ac:dyDescent="0.3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2.15" x14ac:dyDescent="0.3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2.15" x14ac:dyDescent="0.3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2.15" x14ac:dyDescent="0.3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2.15" x14ac:dyDescent="0.3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2.15" x14ac:dyDescent="0.3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2.15" x14ac:dyDescent="0.3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2.15" x14ac:dyDescent="0.3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2.15" x14ac:dyDescent="0.3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2.15" x14ac:dyDescent="0.3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2.15" x14ac:dyDescent="0.3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2.15" x14ac:dyDescent="0.3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2.15" x14ac:dyDescent="0.3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2.15" x14ac:dyDescent="0.3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2.15" x14ac:dyDescent="0.3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2.15" x14ac:dyDescent="0.3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2.15" x14ac:dyDescent="0.3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2.15" x14ac:dyDescent="0.3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2.15" x14ac:dyDescent="0.3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2.15" x14ac:dyDescent="0.3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2.15" x14ac:dyDescent="0.3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2.15" x14ac:dyDescent="0.3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2.15" x14ac:dyDescent="0.3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2.15" x14ac:dyDescent="0.3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2.15" x14ac:dyDescent="0.3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2.15" x14ac:dyDescent="0.3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2.15" x14ac:dyDescent="0.3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2.15" x14ac:dyDescent="0.3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2.15" x14ac:dyDescent="0.3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2.15" x14ac:dyDescent="0.3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2.15" x14ac:dyDescent="0.3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2.15" x14ac:dyDescent="0.3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2.15" x14ac:dyDescent="0.3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2.15" x14ac:dyDescent="0.3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2.15" x14ac:dyDescent="0.3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2.15" x14ac:dyDescent="0.3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2.15" x14ac:dyDescent="0.3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2.15" x14ac:dyDescent="0.3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2.15" x14ac:dyDescent="0.3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2.15" x14ac:dyDescent="0.3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2.15" x14ac:dyDescent="0.3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2.15" x14ac:dyDescent="0.3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2.15" x14ac:dyDescent="0.3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2.15" x14ac:dyDescent="0.3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2.15" x14ac:dyDescent="0.3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2.15" x14ac:dyDescent="0.3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2.15" x14ac:dyDescent="0.3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2.15" x14ac:dyDescent="0.3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2.15" x14ac:dyDescent="0.3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2.15" x14ac:dyDescent="0.3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2.15" x14ac:dyDescent="0.3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2.15" x14ac:dyDescent="0.3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2.15" x14ac:dyDescent="0.3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2.15" x14ac:dyDescent="0.3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2.15" x14ac:dyDescent="0.3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2.15" x14ac:dyDescent="0.3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2.15" x14ac:dyDescent="0.3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2.15" x14ac:dyDescent="0.3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2.15" x14ac:dyDescent="0.3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2.15" x14ac:dyDescent="0.3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2.15" x14ac:dyDescent="0.3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2.15" x14ac:dyDescent="0.3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2.15" x14ac:dyDescent="0.3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2.15" x14ac:dyDescent="0.3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2.15" x14ac:dyDescent="0.3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2.15" x14ac:dyDescent="0.3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2.15" x14ac:dyDescent="0.3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2.15" x14ac:dyDescent="0.3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2.15" x14ac:dyDescent="0.3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2.15" x14ac:dyDescent="0.3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2.15" x14ac:dyDescent="0.3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2.15" x14ac:dyDescent="0.3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2.15" x14ac:dyDescent="0.3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2.15" x14ac:dyDescent="0.3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2.15" x14ac:dyDescent="0.3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2.15" x14ac:dyDescent="0.3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2.15" x14ac:dyDescent="0.3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2.15" x14ac:dyDescent="0.3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2.15" x14ac:dyDescent="0.3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2.15" x14ac:dyDescent="0.3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2.15" x14ac:dyDescent="0.3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2.15" x14ac:dyDescent="0.3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2.15" x14ac:dyDescent="0.3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2.15" x14ac:dyDescent="0.3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2.15" x14ac:dyDescent="0.3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2.15" x14ac:dyDescent="0.3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2.15" x14ac:dyDescent="0.3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2.15" x14ac:dyDescent="0.3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2.15" x14ac:dyDescent="0.3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2.15" x14ac:dyDescent="0.3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2.15" x14ac:dyDescent="0.3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2.15" x14ac:dyDescent="0.3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2.15" x14ac:dyDescent="0.3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2.15" x14ac:dyDescent="0.3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2.15" x14ac:dyDescent="0.3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2.15" x14ac:dyDescent="0.3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2.15" x14ac:dyDescent="0.3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2.15" x14ac:dyDescent="0.3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2.15" x14ac:dyDescent="0.3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2.15" x14ac:dyDescent="0.3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2.15" x14ac:dyDescent="0.3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2.15" x14ac:dyDescent="0.3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2.15" x14ac:dyDescent="0.3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2.15" x14ac:dyDescent="0.3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2.15" x14ac:dyDescent="0.3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2.15" x14ac:dyDescent="0.3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2.15" x14ac:dyDescent="0.3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2.15" x14ac:dyDescent="0.3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2.15" x14ac:dyDescent="0.3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2.15" x14ac:dyDescent="0.3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2.15" x14ac:dyDescent="0.3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2.15" x14ac:dyDescent="0.3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2.15" x14ac:dyDescent="0.3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2.15" x14ac:dyDescent="0.3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2.15" x14ac:dyDescent="0.3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2.15" x14ac:dyDescent="0.3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2.15" x14ac:dyDescent="0.3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2.15" x14ac:dyDescent="0.3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2.15" x14ac:dyDescent="0.3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2.15" x14ac:dyDescent="0.3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2.15" x14ac:dyDescent="0.3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2.15" x14ac:dyDescent="0.3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2.15" x14ac:dyDescent="0.3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2.15" x14ac:dyDescent="0.3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2.15" x14ac:dyDescent="0.3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2.15" x14ac:dyDescent="0.3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2.15" x14ac:dyDescent="0.3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2.15" x14ac:dyDescent="0.3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2.15" x14ac:dyDescent="0.3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2.15" x14ac:dyDescent="0.3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2.15" x14ac:dyDescent="0.3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2.15" x14ac:dyDescent="0.3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2.15" x14ac:dyDescent="0.3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2.15" x14ac:dyDescent="0.3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2.15" x14ac:dyDescent="0.3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2.15" x14ac:dyDescent="0.3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2.15" x14ac:dyDescent="0.3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2.15" x14ac:dyDescent="0.3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2.15" x14ac:dyDescent="0.3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2.15" x14ac:dyDescent="0.3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2.15" x14ac:dyDescent="0.3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2.15" x14ac:dyDescent="0.3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2.15" x14ac:dyDescent="0.3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2.15" x14ac:dyDescent="0.3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2.15" x14ac:dyDescent="0.3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2.15" x14ac:dyDescent="0.3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2.15" x14ac:dyDescent="0.3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2.15" x14ac:dyDescent="0.3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2.15" x14ac:dyDescent="0.3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2.15" x14ac:dyDescent="0.3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2.15" x14ac:dyDescent="0.3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2.15" x14ac:dyDescent="0.3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2.15" x14ac:dyDescent="0.3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2.15" x14ac:dyDescent="0.3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2.15" x14ac:dyDescent="0.3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2.15" x14ac:dyDescent="0.3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2.15" x14ac:dyDescent="0.3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2.15" x14ac:dyDescent="0.3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2.15" x14ac:dyDescent="0.3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2.15" x14ac:dyDescent="0.3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2.15" x14ac:dyDescent="0.3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2.15" x14ac:dyDescent="0.3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2.15" x14ac:dyDescent="0.3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2.15" x14ac:dyDescent="0.3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2.15" x14ac:dyDescent="0.3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2.15" x14ac:dyDescent="0.3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2.15" x14ac:dyDescent="0.3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2.15" x14ac:dyDescent="0.3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2.15" x14ac:dyDescent="0.3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2.15" x14ac:dyDescent="0.3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2.15" x14ac:dyDescent="0.3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2.15" x14ac:dyDescent="0.3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2.15" x14ac:dyDescent="0.3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2.15" x14ac:dyDescent="0.3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2.15" x14ac:dyDescent="0.3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2.15" x14ac:dyDescent="0.3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2.15" x14ac:dyDescent="0.3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2.15" x14ac:dyDescent="0.3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2.15" x14ac:dyDescent="0.3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2.15" x14ac:dyDescent="0.3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2.15" x14ac:dyDescent="0.3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2.15" x14ac:dyDescent="0.3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2.15" x14ac:dyDescent="0.3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2.15" x14ac:dyDescent="0.3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2.15" x14ac:dyDescent="0.3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2.15" x14ac:dyDescent="0.3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2.15" x14ac:dyDescent="0.3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2.15" x14ac:dyDescent="0.3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2.15" x14ac:dyDescent="0.3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2.15" x14ac:dyDescent="0.3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2.15" x14ac:dyDescent="0.3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2.15" x14ac:dyDescent="0.3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2.15" x14ac:dyDescent="0.3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2.15" x14ac:dyDescent="0.3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2.15" x14ac:dyDescent="0.3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2.15" x14ac:dyDescent="0.3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2.15" x14ac:dyDescent="0.3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2.15" x14ac:dyDescent="0.3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2.15" x14ac:dyDescent="0.3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2.15" x14ac:dyDescent="0.3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2.15" x14ac:dyDescent="0.3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2.15" x14ac:dyDescent="0.3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2.15" x14ac:dyDescent="0.3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2.15" x14ac:dyDescent="0.3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2.15" x14ac:dyDescent="0.3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2.15" x14ac:dyDescent="0.3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2.15" x14ac:dyDescent="0.3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2.15" x14ac:dyDescent="0.3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2.15" x14ac:dyDescent="0.3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2.15" x14ac:dyDescent="0.3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2.15" x14ac:dyDescent="0.3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2.15" x14ac:dyDescent="0.3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2.15" x14ac:dyDescent="0.3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2.15" x14ac:dyDescent="0.3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2.15" x14ac:dyDescent="0.3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2.15" x14ac:dyDescent="0.3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2.15" x14ac:dyDescent="0.3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2.15" x14ac:dyDescent="0.3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2.15" x14ac:dyDescent="0.3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2.15" x14ac:dyDescent="0.3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2.15" x14ac:dyDescent="0.3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2.15" x14ac:dyDescent="0.3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2.15" x14ac:dyDescent="0.3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2.15" x14ac:dyDescent="0.3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2.15" x14ac:dyDescent="0.3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2.15" x14ac:dyDescent="0.3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2.15" x14ac:dyDescent="0.3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2.15" x14ac:dyDescent="0.3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2.15" x14ac:dyDescent="0.3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2.15" x14ac:dyDescent="0.3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2.15" x14ac:dyDescent="0.3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2.15" x14ac:dyDescent="0.3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2.15" x14ac:dyDescent="0.3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2.15" x14ac:dyDescent="0.3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2.15" x14ac:dyDescent="0.3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2.15" x14ac:dyDescent="0.3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2.15" x14ac:dyDescent="0.3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2.15" x14ac:dyDescent="0.3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2.15" x14ac:dyDescent="0.3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2.15" x14ac:dyDescent="0.3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2.15" x14ac:dyDescent="0.3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2.15" x14ac:dyDescent="0.3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2.15" x14ac:dyDescent="0.3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2.15" x14ac:dyDescent="0.3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2.15" x14ac:dyDescent="0.3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2.15" x14ac:dyDescent="0.3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2.15" x14ac:dyDescent="0.3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2.15" x14ac:dyDescent="0.3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2.15" x14ac:dyDescent="0.3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2.15" x14ac:dyDescent="0.3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2.15" x14ac:dyDescent="0.3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2.15" x14ac:dyDescent="0.3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2.15" x14ac:dyDescent="0.3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2.15" x14ac:dyDescent="0.3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2.15" x14ac:dyDescent="0.3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2.15" x14ac:dyDescent="0.3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2.15" x14ac:dyDescent="0.3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2.15" x14ac:dyDescent="0.3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2.15" x14ac:dyDescent="0.3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2.15" x14ac:dyDescent="0.3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2.15" x14ac:dyDescent="0.3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2.15" x14ac:dyDescent="0.3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2.15" x14ac:dyDescent="0.3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2.15" x14ac:dyDescent="0.3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2.15" x14ac:dyDescent="0.3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2.15" x14ac:dyDescent="0.3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2.15" x14ac:dyDescent="0.3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2.15" x14ac:dyDescent="0.3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2.15" x14ac:dyDescent="0.3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2.15" x14ac:dyDescent="0.3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2.15" x14ac:dyDescent="0.3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2.15" x14ac:dyDescent="0.3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2.15" x14ac:dyDescent="0.3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2.15" x14ac:dyDescent="0.3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2.15" x14ac:dyDescent="0.3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2.15" x14ac:dyDescent="0.3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2.15" x14ac:dyDescent="0.3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2.15" x14ac:dyDescent="0.3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2.15" x14ac:dyDescent="0.3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2.15" x14ac:dyDescent="0.3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2.15" x14ac:dyDescent="0.3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2.15" x14ac:dyDescent="0.3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2.15" x14ac:dyDescent="0.3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2.15" x14ac:dyDescent="0.3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2.15" x14ac:dyDescent="0.3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2.15" x14ac:dyDescent="0.3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2.15" x14ac:dyDescent="0.3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2.15" x14ac:dyDescent="0.3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2.15" x14ac:dyDescent="0.3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2.15" x14ac:dyDescent="0.3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2.15" x14ac:dyDescent="0.3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2.15" x14ac:dyDescent="0.3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2.15" x14ac:dyDescent="0.3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2.15" x14ac:dyDescent="0.3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2.15" x14ac:dyDescent="0.3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2.15" x14ac:dyDescent="0.3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2.15" x14ac:dyDescent="0.3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2.15" x14ac:dyDescent="0.3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2.15" x14ac:dyDescent="0.3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2.15" x14ac:dyDescent="0.3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2.15" x14ac:dyDescent="0.3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2.15" x14ac:dyDescent="0.3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2.15" x14ac:dyDescent="0.3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2.15" x14ac:dyDescent="0.3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2.15" x14ac:dyDescent="0.3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2.15" x14ac:dyDescent="0.3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2.15" x14ac:dyDescent="0.3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2.15" x14ac:dyDescent="0.3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2.15" x14ac:dyDescent="0.3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2.15" x14ac:dyDescent="0.3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2.15" x14ac:dyDescent="0.3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2.15" x14ac:dyDescent="0.3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2.15" x14ac:dyDescent="0.3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2.15" x14ac:dyDescent="0.3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2.15" x14ac:dyDescent="0.3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2.15" x14ac:dyDescent="0.3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2.15" x14ac:dyDescent="0.3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2.15" x14ac:dyDescent="0.3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2.15" x14ac:dyDescent="0.3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2.15" x14ac:dyDescent="0.3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2.15" x14ac:dyDescent="0.3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2.15" x14ac:dyDescent="0.3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2.15" x14ac:dyDescent="0.3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2.15" x14ac:dyDescent="0.3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2.15" x14ac:dyDescent="0.3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2.15" x14ac:dyDescent="0.3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2.15" x14ac:dyDescent="0.3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2.15" x14ac:dyDescent="0.3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2.15" x14ac:dyDescent="0.3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2.15" x14ac:dyDescent="0.3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2.15" x14ac:dyDescent="0.3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2.15" x14ac:dyDescent="0.3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2.15" x14ac:dyDescent="0.3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2.15" x14ac:dyDescent="0.3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2.15" x14ac:dyDescent="0.3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2.15" x14ac:dyDescent="0.3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2.15" x14ac:dyDescent="0.3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2.15" x14ac:dyDescent="0.3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2.15" x14ac:dyDescent="0.3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2.15" x14ac:dyDescent="0.3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2.15" x14ac:dyDescent="0.3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2.15" x14ac:dyDescent="0.3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2.15" x14ac:dyDescent="0.3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2.15" x14ac:dyDescent="0.3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2.15" x14ac:dyDescent="0.3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2.15" x14ac:dyDescent="0.3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2.15" x14ac:dyDescent="0.3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2.15" x14ac:dyDescent="0.3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2.15" x14ac:dyDescent="0.3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2.15" x14ac:dyDescent="0.3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2.15" x14ac:dyDescent="0.3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2.15" x14ac:dyDescent="0.3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2.15" x14ac:dyDescent="0.3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2.15" x14ac:dyDescent="0.3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2.15" x14ac:dyDescent="0.3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2.15" x14ac:dyDescent="0.3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2.15" x14ac:dyDescent="0.3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2.15" x14ac:dyDescent="0.3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2.15" x14ac:dyDescent="0.3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2.15" x14ac:dyDescent="0.3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2.15" x14ac:dyDescent="0.3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2.15" x14ac:dyDescent="0.3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2.15" x14ac:dyDescent="0.3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2.15" x14ac:dyDescent="0.3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2.15" x14ac:dyDescent="0.3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2.15" x14ac:dyDescent="0.3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2.15" x14ac:dyDescent="0.3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2.15" x14ac:dyDescent="0.3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2.15" x14ac:dyDescent="0.3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2.15" x14ac:dyDescent="0.3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2.15" x14ac:dyDescent="0.3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2.15" x14ac:dyDescent="0.3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2.15" x14ac:dyDescent="0.3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2.15" x14ac:dyDescent="0.3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2.15" x14ac:dyDescent="0.3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2.15" x14ac:dyDescent="0.3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2.15" x14ac:dyDescent="0.3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2.15" x14ac:dyDescent="0.3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2.15" x14ac:dyDescent="0.3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2.15" x14ac:dyDescent="0.3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2.15" x14ac:dyDescent="0.3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2.15" x14ac:dyDescent="0.3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2.15" x14ac:dyDescent="0.3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2.15" x14ac:dyDescent="0.35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2.15" x14ac:dyDescent="0.35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2.15" x14ac:dyDescent="0.35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2.15" x14ac:dyDescent="0.35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2.15" x14ac:dyDescent="0.35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2.15" x14ac:dyDescent="0.35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2.15" x14ac:dyDescent="0.35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2.15" x14ac:dyDescent="0.35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22.15" x14ac:dyDescent="0.35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spans="1:30" ht="22.15" x14ac:dyDescent="0.35">
      <c r="A1015" s="1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spans="1:30" ht="22.15" x14ac:dyDescent="0.35">
      <c r="A1016" s="1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 spans="1:30" ht="22.15" x14ac:dyDescent="0.35">
      <c r="A1017" s="1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</sheetData>
  <mergeCells count="22">
    <mergeCell ref="K33:L33"/>
    <mergeCell ref="B35:B47"/>
    <mergeCell ref="G26:J26"/>
    <mergeCell ref="C28:J28"/>
    <mergeCell ref="C29:E29"/>
    <mergeCell ref="C30:E30"/>
    <mergeCell ref="G31:J31"/>
    <mergeCell ref="C33:C34"/>
    <mergeCell ref="D33:G33"/>
    <mergeCell ref="H33:J33"/>
    <mergeCell ref="C23:E23"/>
    <mergeCell ref="G23:J23"/>
    <mergeCell ref="C24:E24"/>
    <mergeCell ref="G24:J24"/>
    <mergeCell ref="C25:E25"/>
    <mergeCell ref="G25:J25"/>
    <mergeCell ref="C22:J22"/>
    <mergeCell ref="C3:J3"/>
    <mergeCell ref="C7:E7"/>
    <mergeCell ref="C19:J19"/>
    <mergeCell ref="C20:E20"/>
    <mergeCell ref="G20:J20"/>
  </mergeCells>
  <conditionalFormatting sqref="D35:G47">
    <cfRule type="colorScale" priority="2">
      <colorScale>
        <cfvo type="min"/>
        <cfvo type="max"/>
        <color rgb="FFF4CCCC"/>
        <color rgb="FFD9EAD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A6B5C-766E-44F8-8895-90ED2E59E713}">
  <sheetPr>
    <tabColor rgb="FF0070C0"/>
  </sheetPr>
  <dimension ref="A1:Q24"/>
  <sheetViews>
    <sheetView workbookViewId="0">
      <selection activeCell="R1" sqref="R1:R24"/>
    </sheetView>
  </sheetViews>
  <sheetFormatPr defaultRowHeight="12.75" x14ac:dyDescent="0.35"/>
  <sheetData>
    <row r="1" spans="1:17" ht="13.15" x14ac:dyDescent="0.4">
      <c r="A1" s="93" t="s">
        <v>48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</row>
    <row r="2" spans="1:17" x14ac:dyDescent="0.35">
      <c r="A2" s="92" t="s">
        <v>44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1"/>
      <c r="Q2" s="91"/>
    </row>
    <row r="3" spans="1:17" x14ac:dyDescent="0.35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1"/>
      <c r="Q3" s="91"/>
    </row>
    <row r="4" spans="1:17" x14ac:dyDescent="0.35">
      <c r="A4" s="92" t="s">
        <v>45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1"/>
      <c r="Q4" s="91"/>
    </row>
    <row r="5" spans="1:17" x14ac:dyDescent="0.35">
      <c r="A5" s="92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1"/>
      <c r="Q5" s="91"/>
    </row>
    <row r="6" spans="1:17" x14ac:dyDescent="0.35">
      <c r="A6" s="92" t="s">
        <v>57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1"/>
      <c r="Q6" s="91"/>
    </row>
    <row r="7" spans="1:17" x14ac:dyDescent="0.35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1"/>
      <c r="Q7" s="91"/>
    </row>
    <row r="8" spans="1:17" x14ac:dyDescent="0.35">
      <c r="A8" s="92" t="s">
        <v>58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1"/>
      <c r="Q8" s="91"/>
    </row>
    <row r="9" spans="1:17" x14ac:dyDescent="0.35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1"/>
      <c r="Q9" s="91"/>
    </row>
    <row r="10" spans="1:17" x14ac:dyDescent="0.35">
      <c r="A10" s="92" t="s">
        <v>59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1"/>
      <c r="Q10" s="91"/>
    </row>
    <row r="11" spans="1:17" x14ac:dyDescent="0.35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1"/>
      <c r="Q11" s="91"/>
    </row>
    <row r="12" spans="1:17" x14ac:dyDescent="0.35">
      <c r="A12" s="92" t="s">
        <v>60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1"/>
      <c r="Q12" s="91"/>
    </row>
    <row r="13" spans="1:17" x14ac:dyDescent="0.35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1"/>
      <c r="Q13" s="91"/>
    </row>
    <row r="14" spans="1:17" x14ac:dyDescent="0.35">
      <c r="A14" s="92" t="s">
        <v>61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1"/>
      <c r="Q14" s="91"/>
    </row>
    <row r="15" spans="1:17" x14ac:dyDescent="0.35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1"/>
      <c r="Q15" s="91"/>
    </row>
    <row r="16" spans="1:17" x14ac:dyDescent="0.35">
      <c r="A16" s="92" t="s">
        <v>62</v>
      </c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1"/>
      <c r="Q16" s="91"/>
    </row>
    <row r="17" spans="1:17" x14ac:dyDescent="0.35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1"/>
      <c r="Q17" s="91"/>
    </row>
    <row r="18" spans="1:17" x14ac:dyDescent="0.35">
      <c r="A18" s="92" t="s">
        <v>63</v>
      </c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1"/>
      <c r="Q18" s="91"/>
    </row>
    <row r="19" spans="1:17" x14ac:dyDescent="0.35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1"/>
      <c r="Q19" s="91"/>
    </row>
    <row r="20" spans="1:17" x14ac:dyDescent="0.35">
      <c r="A20" s="92" t="s">
        <v>64</v>
      </c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1"/>
      <c r="Q20" s="91"/>
    </row>
    <row r="21" spans="1:17" x14ac:dyDescent="0.35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1"/>
      <c r="Q21" s="91"/>
    </row>
    <row r="22" spans="1:17" x14ac:dyDescent="0.35">
      <c r="A22" s="92" t="s">
        <v>46</v>
      </c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1"/>
      <c r="Q22" s="91"/>
    </row>
    <row r="23" spans="1:17" x14ac:dyDescent="0.35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1"/>
      <c r="Q23" s="91"/>
    </row>
    <row r="24" spans="1:17" x14ac:dyDescent="0.35">
      <c r="A24" s="92" t="s">
        <v>47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1"/>
      <c r="Q24" s="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HeadingPairs>
  <TitlesOfParts>
    <vt:vector size="14" baseType="lpstr">
      <vt:lpstr>Scenario 4 Main Model</vt:lpstr>
      <vt:lpstr>Notes</vt:lpstr>
      <vt:lpstr>'Scenario 4 Main Model'!eurusd_1y_scenarios</vt:lpstr>
      <vt:lpstr>FC_AMT</vt:lpstr>
      <vt:lpstr>for_EURUSD</vt:lpstr>
      <vt:lpstr>'Scenario 4 Main Model'!for_GBPUSD</vt:lpstr>
      <vt:lpstr>'Scenario 4 Main Model'!fv_put_outlay</vt:lpstr>
      <vt:lpstr>'Scenario 4 Main Model'!hedge_no</vt:lpstr>
      <vt:lpstr>'Scenario 4 Main Model'!put_price</vt:lpstr>
      <vt:lpstr>R_FC</vt:lpstr>
      <vt:lpstr>R_USD</vt:lpstr>
      <vt:lpstr>'Scenario 4 Main Model'!recievable</vt:lpstr>
      <vt:lpstr>S0_in</vt:lpstr>
      <vt:lpstr>'Scenario 4 Main Model'!x_put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Jazen Rodrigues</cp:lastModifiedBy>
  <dcterms:created xsi:type="dcterms:W3CDTF">2026-04-15T20:46:17Z</dcterms:created>
  <dcterms:modified xsi:type="dcterms:W3CDTF">2026-04-18T09:03:38Z</dcterms:modified>
</cp:coreProperties>
</file>